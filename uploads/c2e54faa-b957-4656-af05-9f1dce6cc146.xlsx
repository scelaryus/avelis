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BADIS=ETS SERRAG SEIF\"/>
    </mc:Choice>
  </mc:AlternateContent>
  <xr:revisionPtr revIDLastSave="0" documentId="13_ncr:1_{47EA5F2B-F43D-44B3-BCCF-4440E6929F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TAT DES FACTURES 2019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78" i="1" l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F423" i="1" l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183" i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F183" i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09" i="1"/>
  <c r="F236" i="1" s="1"/>
  <c r="F20" i="1" l="1"/>
  <c r="F19" i="1"/>
  <c r="F18" i="1"/>
  <c r="F17" i="1"/>
  <c r="F16" i="1"/>
  <c r="F15" i="1"/>
  <c r="F78" i="1"/>
</calcChain>
</file>

<file path=xl/sharedStrings.xml><?xml version="1.0" encoding="utf-8"?>
<sst xmlns="http://schemas.openxmlformats.org/spreadsheetml/2006/main" count="951" uniqueCount="486">
  <si>
    <t>COMMERCE DE GROS DE MATERIAUX DE CONSTRUCTION CERAMIQUE SANITAIRE</t>
  </si>
  <si>
    <t xml:space="preserve">Adrese : CITE CHAABA ERRSAS 5EME KILOMETRE N°17 (A) CONSTANTINE </t>
  </si>
  <si>
    <t>RC N: 25/00-0395042/A/18 DU 03/09/2018</t>
  </si>
  <si>
    <t>NIF N: 194250117021182</t>
  </si>
  <si>
    <t>ART D'IMPOT : 25016840283</t>
  </si>
  <si>
    <t>NIS N: 1 994 2501 17021 43</t>
  </si>
  <si>
    <t>ETS :  SERRAG SEIF</t>
  </si>
  <si>
    <t xml:space="preserve">ACCUSE DE RECEPTION </t>
  </si>
  <si>
    <t>DESTINATION :     SARL AMENFORT BETON</t>
  </si>
  <si>
    <t>Désignation</t>
  </si>
  <si>
    <t>Référence / N° Factures</t>
  </si>
  <si>
    <t>DATE</t>
  </si>
  <si>
    <t>MONTANT HT</t>
  </si>
  <si>
    <t>TVA (19%)</t>
  </si>
  <si>
    <t>MONTANT TTC</t>
  </si>
  <si>
    <t>Type</t>
  </si>
  <si>
    <t>0/3</t>
  </si>
  <si>
    <t>F106/2019</t>
  </si>
  <si>
    <t>F107/2019</t>
  </si>
  <si>
    <t>F108/2019</t>
  </si>
  <si>
    <t>F109/2019</t>
  </si>
  <si>
    <t>F110/2019</t>
  </si>
  <si>
    <t>F111/2019</t>
  </si>
  <si>
    <t>F112/2019</t>
  </si>
  <si>
    <t>F113/2019</t>
  </si>
  <si>
    <t>F114/2019</t>
  </si>
  <si>
    <t>F115/2019</t>
  </si>
  <si>
    <t>F116/2019</t>
  </si>
  <si>
    <t>F117/2019</t>
  </si>
  <si>
    <t>F118/2019</t>
  </si>
  <si>
    <t>8 15</t>
  </si>
  <si>
    <t>15 25</t>
  </si>
  <si>
    <t xml:space="preserve">15 25  </t>
  </si>
  <si>
    <t>F119/2019</t>
  </si>
  <si>
    <t>F120/2019</t>
  </si>
  <si>
    <t>F121/2019</t>
  </si>
  <si>
    <t>F122/2019</t>
  </si>
  <si>
    <t>F123/2019</t>
  </si>
  <si>
    <t>F124/2019</t>
  </si>
  <si>
    <t>F125/2019</t>
  </si>
  <si>
    <t>F126/2019</t>
  </si>
  <si>
    <t>F127/2019</t>
  </si>
  <si>
    <t>F128/2019</t>
  </si>
  <si>
    <t>F129/2019</t>
  </si>
  <si>
    <t>F130/2019</t>
  </si>
  <si>
    <t>F131/2019</t>
  </si>
  <si>
    <t>F132/2019</t>
  </si>
  <si>
    <t>F133/2019</t>
  </si>
  <si>
    <t>F134/2019</t>
  </si>
  <si>
    <t>F135/2019</t>
  </si>
  <si>
    <t>F136/2019</t>
  </si>
  <si>
    <t>F137/2019</t>
  </si>
  <si>
    <t>F138/2019</t>
  </si>
  <si>
    <t>F139/2019</t>
  </si>
  <si>
    <t>F140/2019</t>
  </si>
  <si>
    <t>F141/2019</t>
  </si>
  <si>
    <t>F142/2019</t>
  </si>
  <si>
    <t>F143/2019</t>
  </si>
  <si>
    <t>F144/2019</t>
  </si>
  <si>
    <t>F145/2019</t>
  </si>
  <si>
    <t>F146/2019</t>
  </si>
  <si>
    <t>F147/2019</t>
  </si>
  <si>
    <t>F148/2019</t>
  </si>
  <si>
    <t>F149/2019</t>
  </si>
  <si>
    <t>F150/2019</t>
  </si>
  <si>
    <t>F151/2019</t>
  </si>
  <si>
    <t>F152/2019</t>
  </si>
  <si>
    <t>F153/2019</t>
  </si>
  <si>
    <t>F154/2019</t>
  </si>
  <si>
    <t>F155/2019</t>
  </si>
  <si>
    <t>F156/2019</t>
  </si>
  <si>
    <t>F157/2019</t>
  </si>
  <si>
    <t>F158/2019</t>
  </si>
  <si>
    <t>F159/2019</t>
  </si>
  <si>
    <t>F160/2019</t>
  </si>
  <si>
    <t>F161/2019</t>
  </si>
  <si>
    <t>F162/2019</t>
  </si>
  <si>
    <t>F163/2019</t>
  </si>
  <si>
    <t>F164/2019</t>
  </si>
  <si>
    <t>F165/2019</t>
  </si>
  <si>
    <t>F166/2019</t>
  </si>
  <si>
    <t>F167/2019</t>
  </si>
  <si>
    <t>F168/2019</t>
  </si>
  <si>
    <t>F169/2019</t>
  </si>
  <si>
    <t>F170/2019</t>
  </si>
  <si>
    <t xml:space="preserve">0/3 </t>
  </si>
  <si>
    <t xml:space="preserve">                                       ETBPH-TCE</t>
  </si>
  <si>
    <t>ADRESSE = RESIDENCE EDEN BLOC A RDC LOCAL 03 FOES BOUMERDES</t>
  </si>
  <si>
    <t>,</t>
  </si>
  <si>
    <t>F171/2019</t>
  </si>
  <si>
    <t>F172/2019</t>
  </si>
  <si>
    <t>F173/2019</t>
  </si>
  <si>
    <t>F174/2019</t>
  </si>
  <si>
    <t>F175/2019</t>
  </si>
  <si>
    <t>F176/2019</t>
  </si>
  <si>
    <t>F177/2019</t>
  </si>
  <si>
    <t>F178/2019</t>
  </si>
  <si>
    <t>F179/2019</t>
  </si>
  <si>
    <t>F180/2019</t>
  </si>
  <si>
    <t>F181/2019</t>
  </si>
  <si>
    <t>F182/2019</t>
  </si>
  <si>
    <t>F183/2019</t>
  </si>
  <si>
    <t>F184/2019</t>
  </si>
  <si>
    <t>F185/2019</t>
  </si>
  <si>
    <t>F186/2019</t>
  </si>
  <si>
    <t>F187/2019</t>
  </si>
  <si>
    <t>F188/2019</t>
  </si>
  <si>
    <t>F189/2019</t>
  </si>
  <si>
    <t>F190/2019</t>
  </si>
  <si>
    <t>F191/2019</t>
  </si>
  <si>
    <t>F192/2019</t>
  </si>
  <si>
    <t>F193/2019</t>
  </si>
  <si>
    <t>F194/2019</t>
  </si>
  <si>
    <t>F195/2019</t>
  </si>
  <si>
    <t>F196/2019</t>
  </si>
  <si>
    <t>F197/2019</t>
  </si>
  <si>
    <t>F198/2019</t>
  </si>
  <si>
    <t>F199/2019</t>
  </si>
  <si>
    <t>22/09/209</t>
  </si>
  <si>
    <t>F200/2019</t>
  </si>
  <si>
    <t>F201/2019</t>
  </si>
  <si>
    <t>F202/2019</t>
  </si>
  <si>
    <t>F203/2019</t>
  </si>
  <si>
    <t>F204/2019</t>
  </si>
  <si>
    <t>F205/2019</t>
  </si>
  <si>
    <t>F206/2019</t>
  </si>
  <si>
    <t>F207/2019</t>
  </si>
  <si>
    <t>F208/2019</t>
  </si>
  <si>
    <t>F209/2019</t>
  </si>
  <si>
    <t>F210/2019</t>
  </si>
  <si>
    <t>F211/2019</t>
  </si>
  <si>
    <t>F212/2019</t>
  </si>
  <si>
    <t>F213/2019</t>
  </si>
  <si>
    <t>F214/2019</t>
  </si>
  <si>
    <t>F215/2019</t>
  </si>
  <si>
    <t>F216/2019</t>
  </si>
  <si>
    <t>F217/2019</t>
  </si>
  <si>
    <t>F218/2019</t>
  </si>
  <si>
    <t>F219/2019</t>
  </si>
  <si>
    <t>F220/2019</t>
  </si>
  <si>
    <t>F221/2019</t>
  </si>
  <si>
    <t>TOTAL 01 =</t>
  </si>
  <si>
    <t>F223/2019</t>
  </si>
  <si>
    <t>F224/2019</t>
  </si>
  <si>
    <t>F225/2019</t>
  </si>
  <si>
    <t>F226/2019</t>
  </si>
  <si>
    <t>F227/2019</t>
  </si>
  <si>
    <t>F228/2019</t>
  </si>
  <si>
    <t>F222/2019</t>
  </si>
  <si>
    <t>F229/2019</t>
  </si>
  <si>
    <t>F230/2019</t>
  </si>
  <si>
    <t>F231/2019</t>
  </si>
  <si>
    <t>F232/2019</t>
  </si>
  <si>
    <t>F233/2019</t>
  </si>
  <si>
    <t>F234/2019</t>
  </si>
  <si>
    <t>F235/2019</t>
  </si>
  <si>
    <t>F236/2019</t>
  </si>
  <si>
    <t>F237/2019</t>
  </si>
  <si>
    <t>F238/2019</t>
  </si>
  <si>
    <t>F239/2019</t>
  </si>
  <si>
    <t>F240/2019</t>
  </si>
  <si>
    <t>F241/2019</t>
  </si>
  <si>
    <t>F242/2019</t>
  </si>
  <si>
    <t>F243/2019</t>
  </si>
  <si>
    <t>F244/2019</t>
  </si>
  <si>
    <t>F245/2019</t>
  </si>
  <si>
    <t>F246/2019</t>
  </si>
  <si>
    <t>F247/2019</t>
  </si>
  <si>
    <t>F248/2019</t>
  </si>
  <si>
    <t>F249/2019</t>
  </si>
  <si>
    <t>F250/2019</t>
  </si>
  <si>
    <t>F251/2019</t>
  </si>
  <si>
    <t>F252/2019</t>
  </si>
  <si>
    <t>F253/2019</t>
  </si>
  <si>
    <t>F254/2019</t>
  </si>
  <si>
    <t>F255/2019</t>
  </si>
  <si>
    <t>F256/2019</t>
  </si>
  <si>
    <t>F257/2019</t>
  </si>
  <si>
    <t>F258/2019</t>
  </si>
  <si>
    <t>F259/2019</t>
  </si>
  <si>
    <t>F260/2019</t>
  </si>
  <si>
    <t>F261/2019</t>
  </si>
  <si>
    <t>F262/2019</t>
  </si>
  <si>
    <t>F263/2019</t>
  </si>
  <si>
    <t>F264/2019</t>
  </si>
  <si>
    <t>F265/2019</t>
  </si>
  <si>
    <t>F266/2019</t>
  </si>
  <si>
    <t>F267/2019</t>
  </si>
  <si>
    <t>F268/2019</t>
  </si>
  <si>
    <t>F269/2019</t>
  </si>
  <si>
    <t>F270/2019</t>
  </si>
  <si>
    <t>F271/2019</t>
  </si>
  <si>
    <t>F272/2019</t>
  </si>
  <si>
    <t>F273/2019</t>
  </si>
  <si>
    <t>F274/2019</t>
  </si>
  <si>
    <t>F275/2019</t>
  </si>
  <si>
    <t>F276/2019</t>
  </si>
  <si>
    <t>F277/2019</t>
  </si>
  <si>
    <t>F278/2019</t>
  </si>
  <si>
    <t>F279/2019</t>
  </si>
  <si>
    <t>F280/2019</t>
  </si>
  <si>
    <t>F281/2019</t>
  </si>
  <si>
    <t>F282/2019</t>
  </si>
  <si>
    <t>F283/2019</t>
  </si>
  <si>
    <t>F284/2019</t>
  </si>
  <si>
    <t>F285/2019</t>
  </si>
  <si>
    <t>F286/2019</t>
  </si>
  <si>
    <t>F287/2019</t>
  </si>
  <si>
    <t>F288/2019</t>
  </si>
  <si>
    <t>F289/2019</t>
  </si>
  <si>
    <t>F290/2019</t>
  </si>
  <si>
    <t>F291/2019</t>
  </si>
  <si>
    <t>F292/2019</t>
  </si>
  <si>
    <t>F293/2019</t>
  </si>
  <si>
    <t>F294/2019</t>
  </si>
  <si>
    <t>F295/2019</t>
  </si>
  <si>
    <t>F296/2019</t>
  </si>
  <si>
    <t>F297/2019</t>
  </si>
  <si>
    <t>F298/2019</t>
  </si>
  <si>
    <t>F299/2019</t>
  </si>
  <si>
    <t>F300/2019</t>
  </si>
  <si>
    <t>F301/2019</t>
  </si>
  <si>
    <t>F302/2019</t>
  </si>
  <si>
    <t>F303/2019</t>
  </si>
  <si>
    <t>F304/2019</t>
  </si>
  <si>
    <t>F305/2019</t>
  </si>
  <si>
    <t>F306/2019</t>
  </si>
  <si>
    <t>F307/2019</t>
  </si>
  <si>
    <t>F308/2019</t>
  </si>
  <si>
    <t>F309/2019</t>
  </si>
  <si>
    <t>F310/2019</t>
  </si>
  <si>
    <t>F311/2019</t>
  </si>
  <si>
    <t>F312/2019</t>
  </si>
  <si>
    <t>F313/2019</t>
  </si>
  <si>
    <t>F314/2019</t>
  </si>
  <si>
    <t>F315/2019</t>
  </si>
  <si>
    <t>F316/2019</t>
  </si>
  <si>
    <t>F317/2019</t>
  </si>
  <si>
    <t>F318/2019</t>
  </si>
  <si>
    <t>F319/2019</t>
  </si>
  <si>
    <t>F320/2019</t>
  </si>
  <si>
    <t>F321/2019</t>
  </si>
  <si>
    <t>F322/2019</t>
  </si>
  <si>
    <t>F323/2019</t>
  </si>
  <si>
    <t>F324/2019</t>
  </si>
  <si>
    <t>F325/2019</t>
  </si>
  <si>
    <t>TOTAL 02 =</t>
  </si>
  <si>
    <t>F326/2019</t>
  </si>
  <si>
    <t>F327/2019</t>
  </si>
  <si>
    <t>F328/2019</t>
  </si>
  <si>
    <t>F329/2019</t>
  </si>
  <si>
    <t>F330/2019</t>
  </si>
  <si>
    <t>F331/2019</t>
  </si>
  <si>
    <t>F332/2019</t>
  </si>
  <si>
    <t>F334/2019</t>
  </si>
  <si>
    <t>F333/2019</t>
  </si>
  <si>
    <t>F335/2019</t>
  </si>
  <si>
    <t>F336/2019</t>
  </si>
  <si>
    <t>F337/2019</t>
  </si>
  <si>
    <t>F338/2019</t>
  </si>
  <si>
    <t>F339/2019</t>
  </si>
  <si>
    <t>F340/2019</t>
  </si>
  <si>
    <t>F341/2019</t>
  </si>
  <si>
    <t>F342/2019</t>
  </si>
  <si>
    <t>F343/2019</t>
  </si>
  <si>
    <t>F344/2019</t>
  </si>
  <si>
    <t>F345/2019</t>
  </si>
  <si>
    <t>F346/2019</t>
  </si>
  <si>
    <t>F347/2019</t>
  </si>
  <si>
    <t>F348/2019</t>
  </si>
  <si>
    <t>F349/2019</t>
  </si>
  <si>
    <t>F350/2019</t>
  </si>
  <si>
    <t>F351/2019</t>
  </si>
  <si>
    <t>F352/2019</t>
  </si>
  <si>
    <t>F353/2019</t>
  </si>
  <si>
    <t>F354/2019</t>
  </si>
  <si>
    <t>F355/2019</t>
  </si>
  <si>
    <t>F356/2019</t>
  </si>
  <si>
    <t>F357/2019</t>
  </si>
  <si>
    <t>F358/2019</t>
  </si>
  <si>
    <t>F359/2019</t>
  </si>
  <si>
    <t>F360/2019</t>
  </si>
  <si>
    <t>F361/2019</t>
  </si>
  <si>
    <t>F362/2019</t>
  </si>
  <si>
    <t>F363/2019</t>
  </si>
  <si>
    <t>F364/2019</t>
  </si>
  <si>
    <t>F365/2019</t>
  </si>
  <si>
    <t>F366/2019</t>
  </si>
  <si>
    <t>F367/2019</t>
  </si>
  <si>
    <t>F368/2019</t>
  </si>
  <si>
    <t>F369/2019</t>
  </si>
  <si>
    <t>F370/2019</t>
  </si>
  <si>
    <t>F371/2019</t>
  </si>
  <si>
    <t>F372/2019</t>
  </si>
  <si>
    <t>F373/2019</t>
  </si>
  <si>
    <t>F374/2019</t>
  </si>
  <si>
    <t>F375/2019</t>
  </si>
  <si>
    <t>F376/2019</t>
  </si>
  <si>
    <t>F377/2019</t>
  </si>
  <si>
    <t>F378/2019</t>
  </si>
  <si>
    <t>F379/2019</t>
  </si>
  <si>
    <t>F380/2019</t>
  </si>
  <si>
    <t>F381/2019</t>
  </si>
  <si>
    <t>F382/2019</t>
  </si>
  <si>
    <t>F383/2019</t>
  </si>
  <si>
    <t>F384/2019</t>
  </si>
  <si>
    <t>F385/2019</t>
  </si>
  <si>
    <t>F386/2019</t>
  </si>
  <si>
    <t>F387/2019</t>
  </si>
  <si>
    <t>F388/2019</t>
  </si>
  <si>
    <t>F389/2019</t>
  </si>
  <si>
    <t>F390/2019</t>
  </si>
  <si>
    <t>F391/2019</t>
  </si>
  <si>
    <t>F392/2019</t>
  </si>
  <si>
    <t>F393/2019</t>
  </si>
  <si>
    <t>F394/2019</t>
  </si>
  <si>
    <t>F395/2019</t>
  </si>
  <si>
    <t>F396/2019</t>
  </si>
  <si>
    <t>F397/2019</t>
  </si>
  <si>
    <t>F398/2019</t>
  </si>
  <si>
    <t>F399/2019</t>
  </si>
  <si>
    <t>F400/2019</t>
  </si>
  <si>
    <t>F401/2019</t>
  </si>
  <si>
    <t>F402/2019</t>
  </si>
  <si>
    <t>F403/2019</t>
  </si>
  <si>
    <t>F404/2019</t>
  </si>
  <si>
    <t>F405/2019</t>
  </si>
  <si>
    <t>F406/2019</t>
  </si>
  <si>
    <t>F407/2019</t>
  </si>
  <si>
    <t>F408/2019</t>
  </si>
  <si>
    <t>F409/2019</t>
  </si>
  <si>
    <t>F410/2019</t>
  </si>
  <si>
    <t>F411/2019</t>
  </si>
  <si>
    <t>F412/2019</t>
  </si>
  <si>
    <t>F413/2019</t>
  </si>
  <si>
    <t>F414/2019</t>
  </si>
  <si>
    <t>F415/2019</t>
  </si>
  <si>
    <t>F416/2019</t>
  </si>
  <si>
    <t>F417/2019</t>
  </si>
  <si>
    <t>F418/2019</t>
  </si>
  <si>
    <t>F419/2019</t>
  </si>
  <si>
    <t>TOTAL 03 =</t>
  </si>
  <si>
    <t>TOTAL FACTURES EN TTC =</t>
  </si>
  <si>
    <t>F420/2019</t>
  </si>
  <si>
    <t>F421/2019</t>
  </si>
  <si>
    <t>F422/2019</t>
  </si>
  <si>
    <t>F423/2019</t>
  </si>
  <si>
    <t>F424/2019</t>
  </si>
  <si>
    <t>F425/2019</t>
  </si>
  <si>
    <t>F426/2019</t>
  </si>
  <si>
    <t>F427/2019</t>
  </si>
  <si>
    <t>F428/2019</t>
  </si>
  <si>
    <t>F429/2019</t>
  </si>
  <si>
    <t>F430/2019</t>
  </si>
  <si>
    <t>F431/2019</t>
  </si>
  <si>
    <t>F432/2019</t>
  </si>
  <si>
    <t>F433/2019</t>
  </si>
  <si>
    <t>F434/2019</t>
  </si>
  <si>
    <t>F435/2019</t>
  </si>
  <si>
    <t>F436/2019</t>
  </si>
  <si>
    <t>F437/2019</t>
  </si>
  <si>
    <t>F438/2019</t>
  </si>
  <si>
    <t>F439/2019</t>
  </si>
  <si>
    <t>F440/2019</t>
  </si>
  <si>
    <t>F441/2019</t>
  </si>
  <si>
    <t>F442/2019</t>
  </si>
  <si>
    <t>F443/2019</t>
  </si>
  <si>
    <t>F444/2019</t>
  </si>
  <si>
    <t>F445/2019</t>
  </si>
  <si>
    <t>F446/2019</t>
  </si>
  <si>
    <t>F447/2019</t>
  </si>
  <si>
    <t>F448/2019</t>
  </si>
  <si>
    <t>F449/2019</t>
  </si>
  <si>
    <t>F450/2019</t>
  </si>
  <si>
    <t>F451/2019</t>
  </si>
  <si>
    <t>F452/2019</t>
  </si>
  <si>
    <t>F453/2019</t>
  </si>
  <si>
    <t>F454/2019</t>
  </si>
  <si>
    <t>F455/2019</t>
  </si>
  <si>
    <t>F456/2019</t>
  </si>
  <si>
    <t>F457/2019</t>
  </si>
  <si>
    <t>F458/2019</t>
  </si>
  <si>
    <t>F459/2019</t>
  </si>
  <si>
    <t>F460/2019</t>
  </si>
  <si>
    <t>F461/2019</t>
  </si>
  <si>
    <t>F462/2019</t>
  </si>
  <si>
    <t>F463/2019</t>
  </si>
  <si>
    <t>F464/2019</t>
  </si>
  <si>
    <t>F465/2019</t>
  </si>
  <si>
    <t>F466/2019</t>
  </si>
  <si>
    <t>F467/2019</t>
  </si>
  <si>
    <t>F468/2019</t>
  </si>
  <si>
    <t>F469/2019</t>
  </si>
  <si>
    <t>F470/2019</t>
  </si>
  <si>
    <t>F471/2019</t>
  </si>
  <si>
    <t>F472/2019</t>
  </si>
  <si>
    <t>F473/2019</t>
  </si>
  <si>
    <t>F474/2019</t>
  </si>
  <si>
    <t>F475/2019</t>
  </si>
  <si>
    <t>F476/2019</t>
  </si>
  <si>
    <t>F477/2019</t>
  </si>
  <si>
    <t>F478/2019</t>
  </si>
  <si>
    <t>F479/2019</t>
  </si>
  <si>
    <t>F480/2019</t>
  </si>
  <si>
    <t>F481/2019</t>
  </si>
  <si>
    <t>F482/2019</t>
  </si>
  <si>
    <t>F483/2019</t>
  </si>
  <si>
    <t>F484/2019</t>
  </si>
  <si>
    <t>F485/2019</t>
  </si>
  <si>
    <t>F486/2019</t>
  </si>
  <si>
    <t>F487/2019</t>
  </si>
  <si>
    <t>F488/2019</t>
  </si>
  <si>
    <t>F489/2019</t>
  </si>
  <si>
    <t>F490/2019</t>
  </si>
  <si>
    <t>F491/2019</t>
  </si>
  <si>
    <t>F492/2019</t>
  </si>
  <si>
    <t>F493/2019</t>
  </si>
  <si>
    <t>F494/2019</t>
  </si>
  <si>
    <t>F495/2019</t>
  </si>
  <si>
    <t>F496/2019</t>
  </si>
  <si>
    <t>F497/2019</t>
  </si>
  <si>
    <t>F498/2019</t>
  </si>
  <si>
    <t>F499/2019</t>
  </si>
  <si>
    <t>F500/2019</t>
  </si>
  <si>
    <t>F501/2019</t>
  </si>
  <si>
    <t>F502/2019</t>
  </si>
  <si>
    <t>F503/2019</t>
  </si>
  <si>
    <t>F504/2019</t>
  </si>
  <si>
    <t>F505/2019</t>
  </si>
  <si>
    <t>F506/2019</t>
  </si>
  <si>
    <t>F507/2019</t>
  </si>
  <si>
    <t>F508/2019</t>
  </si>
  <si>
    <t>F509/2019</t>
  </si>
  <si>
    <t>F510/2019</t>
  </si>
  <si>
    <t>F511/2019</t>
  </si>
  <si>
    <t>F512/2019</t>
  </si>
  <si>
    <t>F513/2019</t>
  </si>
  <si>
    <t>F514/2019</t>
  </si>
  <si>
    <t>F515/2019</t>
  </si>
  <si>
    <t>F516/2019</t>
  </si>
  <si>
    <t>F517/2019</t>
  </si>
  <si>
    <t>F518/2019</t>
  </si>
  <si>
    <t>F519/2019</t>
  </si>
  <si>
    <t>F520/2019</t>
  </si>
  <si>
    <t>F521/2019</t>
  </si>
  <si>
    <t>F522/2019</t>
  </si>
  <si>
    <t>F523/2019</t>
  </si>
  <si>
    <t>F524/2019</t>
  </si>
  <si>
    <t>F525/2019</t>
  </si>
  <si>
    <t>F526/2019</t>
  </si>
  <si>
    <t>F527/2019</t>
  </si>
  <si>
    <t>F528/2019</t>
  </si>
  <si>
    <t>F529/2019</t>
  </si>
  <si>
    <t>F530/2019</t>
  </si>
  <si>
    <t>F531/2019</t>
  </si>
  <si>
    <t>F532/2019</t>
  </si>
  <si>
    <t>F533/2019</t>
  </si>
  <si>
    <t>F534/2019</t>
  </si>
  <si>
    <t>F535/2019</t>
  </si>
  <si>
    <t>F536/2019</t>
  </si>
  <si>
    <t>F537/2019</t>
  </si>
  <si>
    <t>F538/2019</t>
  </si>
  <si>
    <t>F539/2019</t>
  </si>
  <si>
    <t>F540/2019</t>
  </si>
  <si>
    <t>F541/2019</t>
  </si>
  <si>
    <t>F542/2019</t>
  </si>
  <si>
    <t>F543/2019</t>
  </si>
  <si>
    <t>F544/2019</t>
  </si>
  <si>
    <t>F545/2019</t>
  </si>
  <si>
    <t>F546/2019</t>
  </si>
  <si>
    <t>F547/2019</t>
  </si>
  <si>
    <t>F548/2019</t>
  </si>
  <si>
    <t>F549/2019</t>
  </si>
  <si>
    <t>F550/2019</t>
  </si>
  <si>
    <t>F551/2019</t>
  </si>
  <si>
    <t>F552/2019</t>
  </si>
  <si>
    <t>F553/2019</t>
  </si>
  <si>
    <t>F554/2019</t>
  </si>
  <si>
    <t>F555/2019</t>
  </si>
  <si>
    <t>F556/2019</t>
  </si>
  <si>
    <t>ARRETER LE PRESENT ETATS A LA SOMME DE :</t>
  </si>
  <si>
    <t xml:space="preserve">QUARANTE CINQ MILLIONS TROIS CENT SOIXANTE DIX SEPT MILLE DEUX CENT QUARANTE </t>
  </si>
  <si>
    <t>SIX DINARS ET 03 CTS EN TTC.</t>
  </si>
  <si>
    <t>SIGNATURE / ENTREPRISE                                                         SIGNATURE / FOURNISSEUR</t>
  </si>
  <si>
    <t xml:space="preserve">            Reçu le : ….....................................................................</t>
  </si>
  <si>
    <t xml:space="preserve">                                                                                         CONSTANTINE,LE : 31/12/2019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</si>
</sst>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Arial Black"/>
      <family val="2"/>
    </font>
    <font>
      <b/>
      <sz val="12"/>
      <color theme="1"/>
      <name val="Arial Narrow"/>
      <family val="2"/>
    </font>
    <font>
      <b/>
      <sz val="12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4"/>
      <color rgb="FFFF0000"/>
      <name val="Arial Black"/>
      <family val="2"/>
    </font>
    <font>
      <b/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" fontId="1" fillId="0" borderId="9" xfId="0" applyNumberFormat="1" applyFont="1" applyBorder="1"/>
    <xf numFmtId="2" fontId="1" fillId="0" borderId="1" xfId="0" applyNumberFormat="1" applyFont="1" applyBorder="1"/>
    <xf numFmtId="2" fontId="1" fillId="0" borderId="10" xfId="0" applyNumberFormat="1" applyFont="1" applyBorder="1"/>
    <xf numFmtId="2" fontId="2" fillId="0" borderId="1" xfId="0" applyNumberFormat="1" applyFont="1" applyBorder="1"/>
    <xf numFmtId="2" fontId="2" fillId="0" borderId="10" xfId="0" applyNumberFormat="1" applyFont="1" applyBorder="1"/>
    <xf numFmtId="0" fontId="1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4" fontId="1" fillId="0" borderId="14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2" fontId="2" fillId="0" borderId="10" xfId="0" applyNumberFormat="1" applyFont="1" applyFill="1" applyBorder="1"/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2" fillId="0" borderId="10" xfId="0" applyFont="1" applyBorder="1"/>
    <xf numFmtId="0" fontId="0" fillId="0" borderId="8" xfId="0" applyBorder="1"/>
    <xf numFmtId="14" fontId="1" fillId="0" borderId="13" xfId="0" applyNumberFormat="1" applyFont="1" applyBorder="1" applyAlignment="1">
      <alignment horizontal="center"/>
    </xf>
    <xf numFmtId="2" fontId="0" fillId="0" borderId="0" xfId="0" applyNumberFormat="1"/>
    <xf numFmtId="2" fontId="1" fillId="0" borderId="15" xfId="0" applyNumberFormat="1" applyFont="1" applyBorder="1"/>
    <xf numFmtId="0" fontId="1" fillId="0" borderId="17" xfId="0" applyNumberFormat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0" fillId="0" borderId="19" xfId="0" applyBorder="1"/>
    <xf numFmtId="14" fontId="1" fillId="0" borderId="20" xfId="0" applyNumberFormat="1" applyFont="1" applyBorder="1" applyAlignment="1">
      <alignment horizontal="center"/>
    </xf>
    <xf numFmtId="2" fontId="1" fillId="0" borderId="17" xfId="0" applyNumberFormat="1" applyFont="1" applyBorder="1"/>
    <xf numFmtId="2" fontId="2" fillId="0" borderId="17" xfId="0" applyNumberFormat="1" applyFont="1" applyBorder="1"/>
    <xf numFmtId="0" fontId="2" fillId="0" borderId="21" xfId="0" applyFont="1" applyBorder="1" applyAlignment="1">
      <alignment horizontal="left"/>
    </xf>
    <xf numFmtId="2" fontId="1" fillId="0" borderId="14" xfId="0" applyNumberFormat="1" applyFont="1" applyBorder="1"/>
    <xf numFmtId="2" fontId="2" fillId="0" borderId="14" xfId="0" applyNumberFormat="1" applyFont="1" applyBorder="1"/>
    <xf numFmtId="0" fontId="1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3" xfId="0" applyBorder="1"/>
    <xf numFmtId="2" fontId="1" fillId="0" borderId="3" xfId="0" applyNumberFormat="1" applyFont="1" applyBorder="1"/>
    <xf numFmtId="0" fontId="0" fillId="0" borderId="7" xfId="0" applyBorder="1"/>
    <xf numFmtId="14" fontId="1" fillId="0" borderId="12" xfId="0" applyNumberFormat="1" applyFont="1" applyBorder="1" applyAlignment="1">
      <alignment horizontal="center"/>
    </xf>
    <xf numFmtId="0" fontId="0" fillId="0" borderId="18" xfId="0" applyBorder="1"/>
    <xf numFmtId="14" fontId="1" fillId="0" borderId="19" xfId="0" applyNumberFormat="1" applyFont="1" applyBorder="1" applyAlignment="1">
      <alignment horizontal="center"/>
    </xf>
    <xf numFmtId="2" fontId="1" fillId="0" borderId="0" xfId="0" applyNumberFormat="1" applyFont="1" applyBorder="1"/>
    <xf numFmtId="0" fontId="1" fillId="0" borderId="14" xfId="0" applyFont="1" applyBorder="1" applyAlignment="1">
      <alignment horizontal="center"/>
    </xf>
    <xf numFmtId="0" fontId="1" fillId="0" borderId="22" xfId="0" applyFont="1" applyBorder="1"/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16" xfId="0" applyNumberFormat="1" applyFont="1" applyBorder="1"/>
    <xf numFmtId="0" fontId="2" fillId="0" borderId="1" xfId="0" applyFont="1" applyBorder="1"/>
    <xf numFmtId="0" fontId="2" fillId="0" borderId="17" xfId="0" applyFont="1" applyBorder="1"/>
    <xf numFmtId="0" fontId="1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0" fillId="0" borderId="27" xfId="0" applyBorder="1"/>
    <xf numFmtId="14" fontId="1" fillId="0" borderId="25" xfId="0" applyNumberFormat="1" applyFont="1" applyBorder="1" applyAlignment="1">
      <alignment horizontal="center"/>
    </xf>
    <xf numFmtId="2" fontId="1" fillId="0" borderId="5" xfId="0" applyNumberFormat="1" applyFont="1" applyBorder="1"/>
    <xf numFmtId="2" fontId="1" fillId="0" borderId="25" xfId="0" applyNumberFormat="1" applyFont="1" applyBorder="1"/>
    <xf numFmtId="2" fontId="2" fillId="0" borderId="25" xfId="0" applyNumberFormat="1" applyFont="1" applyBorder="1"/>
    <xf numFmtId="14" fontId="1" fillId="0" borderId="1" xfId="0" applyNumberFormat="1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2" fontId="2" fillId="0" borderId="9" xfId="0" applyNumberFormat="1" applyFont="1" applyFill="1" applyBorder="1"/>
    <xf numFmtId="2" fontId="2" fillId="0" borderId="1" xfId="0" applyNumberFormat="1" applyFont="1" applyFill="1" applyBorder="1"/>
    <xf numFmtId="2" fontId="2" fillId="0" borderId="17" xfId="0" applyNumberFormat="1" applyFont="1" applyFill="1" applyBorder="1"/>
    <xf numFmtId="2" fontId="2" fillId="0" borderId="25" xfId="0" applyNumberFormat="1" applyFont="1" applyFill="1" applyBorder="1"/>
    <xf numFmtId="0" fontId="1" fillId="0" borderId="25" xfId="0" applyNumberFormat="1" applyFont="1" applyBorder="1" applyAlignment="1">
      <alignment horizontal="center"/>
    </xf>
    <xf numFmtId="14" fontId="1" fillId="0" borderId="28" xfId="0" applyNumberFormat="1" applyFont="1" applyBorder="1" applyAlignment="1">
      <alignment horizontal="center"/>
    </xf>
    <xf numFmtId="17" fontId="1" fillId="0" borderId="17" xfId="0" applyNumberFormat="1" applyFont="1" applyBorder="1" applyAlignment="1">
      <alignment horizontal="center"/>
    </xf>
    <xf numFmtId="0" fontId="1" fillId="0" borderId="12" xfId="0" applyFont="1" applyBorder="1"/>
    <xf numFmtId="0" fontId="2" fillId="2" borderId="3" xfId="0" applyFont="1" applyFill="1" applyBorder="1" applyAlignment="1">
      <alignment horizontal="right" vertical="center"/>
    </xf>
    <xf numFmtId="2" fontId="0" fillId="0" borderId="0" xfId="0" applyNumberFormat="1" applyBorder="1"/>
    <xf numFmtId="2" fontId="1" fillId="0" borderId="4" xfId="0" applyNumberFormat="1" applyFont="1" applyBorder="1"/>
    <xf numFmtId="2" fontId="1" fillId="0" borderId="30" xfId="0" applyNumberFormat="1" applyFont="1" applyBorder="1"/>
    <xf numFmtId="2" fontId="1" fillId="0" borderId="29" xfId="0" applyNumberFormat="1" applyFont="1" applyBorder="1"/>
    <xf numFmtId="1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1" fillId="3" borderId="1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0" fillId="3" borderId="12" xfId="0" applyFill="1" applyBorder="1"/>
    <xf numFmtId="14" fontId="1" fillId="3" borderId="1" xfId="0" applyNumberFormat="1" applyFont="1" applyFill="1" applyBorder="1" applyAlignment="1">
      <alignment horizontal="center"/>
    </xf>
    <xf numFmtId="2" fontId="1" fillId="3" borderId="4" xfId="0" applyNumberFormat="1" applyFont="1" applyFill="1" applyBorder="1"/>
    <xf numFmtId="2" fontId="1" fillId="3" borderId="1" xfId="0" applyNumberFormat="1" applyFont="1" applyFill="1" applyBorder="1"/>
    <xf numFmtId="2" fontId="2" fillId="3" borderId="1" xfId="0" applyNumberFormat="1" applyFont="1" applyFill="1" applyBorder="1"/>
    <xf numFmtId="0" fontId="14" fillId="0" borderId="24" xfId="0" applyFont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2" fontId="8" fillId="2" borderId="2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/>
    </xf>
    <xf numFmtId="0" fontId="13" fillId="2" borderId="3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2" fontId="8" fillId="2" borderId="2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8" fillId="2" borderId="4" xfId="0" applyNumberFormat="1" applyFont="1" applyFill="1" applyBorder="1" applyAlignment="1">
      <alignment horizontal="center"/>
    </xf>
    <xf numFmtId="2" fontId="10" fillId="2" borderId="2" xfId="0" applyNumberFormat="1" applyFont="1" applyFill="1" applyBorder="1" applyAlignment="1">
      <alignment horizontal="right"/>
    </xf>
    <xf numFmtId="0" fontId="11" fillId="0" borderId="4" xfId="0" applyFont="1" applyBorder="1"/>
    <xf numFmtId="0" fontId="1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3" borderId="0" xfId="0" applyFill="1" applyBorder="1"/>
    <xf numFmtId="14" fontId="1" fillId="0" borderId="23" xfId="0" applyNumberFormat="1" applyFont="1" applyBorder="1" applyAlignment="1">
      <alignment horizontal="center"/>
    </xf>
    <xf numFmtId="14" fontId="1" fillId="0" borderId="32" xfId="0" applyNumberFormat="1" applyFont="1" applyBorder="1" applyAlignment="1">
      <alignment horizontal="center"/>
    </xf>
    <xf numFmtId="14" fontId="1" fillId="0" borderId="33" xfId="0" applyNumberFormat="1" applyFont="1" applyBorder="1" applyAlignment="1">
      <alignment horizontal="center"/>
    </xf>
    <xf numFmtId="2" fontId="1" fillId="0" borderId="31" xfId="0" applyNumberFormat="1" applyFont="1" applyBorder="1"/>
    <xf numFmtId="2" fontId="1" fillId="0" borderId="34" xfId="0" applyNumberFormat="1" applyFont="1" applyBorder="1"/>
    <xf numFmtId="2" fontId="1" fillId="0" borderId="35" xfId="0" applyNumberFormat="1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3"/>
  <sheetViews>
    <sheetView tabSelected="1" topLeftCell="A472" workbookViewId="0">
      <selection activeCell="I484" sqref="I484"/>
    </sheetView>
  </sheetViews>
  <sheetFormatPr baseColWidth="10" defaultRowHeight="15" x14ac:dyDescent="0.25"/>
  <cols>
    <col min="1" max="1" width="6.140625" customWidth="1"/>
    <col min="2" max="2" width="22.7109375" customWidth="1"/>
    <col min="3" max="3" width="0.140625" customWidth="1"/>
    <col min="4" max="5" width="14" customWidth="1"/>
    <col min="6" max="6" width="11.5703125" customWidth="1"/>
    <col min="7" max="7" width="13.7109375" customWidth="1"/>
  </cols>
  <sheetData>
    <row r="1" spans="1:14" s="2" customFormat="1" ht="36.75" x14ac:dyDescent="0.7">
      <c r="A1" s="109" t="s">
        <v>6</v>
      </c>
      <c r="B1" s="109"/>
      <c r="C1" s="109"/>
      <c r="D1" s="109"/>
      <c r="E1" s="109"/>
      <c r="F1" s="109"/>
      <c r="G1" s="109"/>
    </row>
    <row r="2" spans="1:14" s="3" customFormat="1" ht="15.75" x14ac:dyDescent="0.25">
      <c r="A2" s="110" t="s">
        <v>0</v>
      </c>
      <c r="B2" s="110"/>
      <c r="C2" s="110"/>
      <c r="D2" s="110"/>
      <c r="E2" s="110"/>
      <c r="F2" s="110"/>
      <c r="G2" s="110"/>
    </row>
    <row r="3" spans="1:14" s="3" customFormat="1" ht="15.75" x14ac:dyDescent="0.25">
      <c r="A3" s="110" t="s">
        <v>1</v>
      </c>
      <c r="B3" s="110"/>
      <c r="C3" s="110"/>
      <c r="D3" s="110"/>
      <c r="E3" s="110"/>
      <c r="F3" s="110"/>
      <c r="G3" s="110"/>
    </row>
    <row r="4" spans="1:14" s="3" customFormat="1" ht="15.75" x14ac:dyDescent="0.25">
      <c r="A4" s="110" t="s">
        <v>2</v>
      </c>
      <c r="B4" s="110"/>
      <c r="C4" s="110"/>
      <c r="D4" s="110"/>
      <c r="E4" s="110"/>
      <c r="F4" s="110"/>
      <c r="G4" s="110"/>
    </row>
    <row r="5" spans="1:14" s="3" customFormat="1" ht="15.75" x14ac:dyDescent="0.25">
      <c r="A5" s="110" t="s">
        <v>3</v>
      </c>
      <c r="B5" s="110"/>
      <c r="C5" s="110"/>
      <c r="D5" s="110"/>
      <c r="E5" s="110"/>
      <c r="F5" s="110"/>
      <c r="G5" s="110"/>
    </row>
    <row r="6" spans="1:14" s="3" customFormat="1" ht="15.75" x14ac:dyDescent="0.25">
      <c r="A6" s="110" t="s">
        <v>4</v>
      </c>
      <c r="B6" s="110"/>
      <c r="C6" s="110"/>
      <c r="D6" s="110"/>
      <c r="E6" s="110"/>
      <c r="F6" s="110"/>
      <c r="G6" s="110"/>
    </row>
    <row r="7" spans="1:14" s="3" customFormat="1" ht="16.5" thickBot="1" x14ac:dyDescent="0.3">
      <c r="A7" s="110" t="s">
        <v>5</v>
      </c>
      <c r="B7" s="110"/>
      <c r="C7" s="110"/>
      <c r="D7" s="110"/>
      <c r="E7" s="110"/>
      <c r="F7" s="110"/>
      <c r="G7" s="110"/>
    </row>
    <row r="8" spans="1:14" s="1" customFormat="1" ht="25.5" thickBot="1" x14ac:dyDescent="0.5">
      <c r="A8" s="117" t="s">
        <v>7</v>
      </c>
      <c r="B8" s="118"/>
      <c r="C8" s="118"/>
      <c r="D8" s="118"/>
      <c r="E8" s="118"/>
      <c r="F8" s="118"/>
      <c r="G8" s="119"/>
    </row>
    <row r="9" spans="1:14" s="4" customFormat="1" ht="15.75" x14ac:dyDescent="0.25">
      <c r="A9" s="120" t="s">
        <v>485</v>
      </c>
      <c r="B9" s="120"/>
      <c r="C9" s="120"/>
      <c r="D9" s="120"/>
      <c r="E9" s="120"/>
      <c r="F9" s="120"/>
      <c r="G9" s="120"/>
    </row>
    <row r="10" spans="1:14" ht="19.5" x14ac:dyDescent="0.4">
      <c r="A10" s="121" t="s">
        <v>8</v>
      </c>
      <c r="B10" s="121"/>
      <c r="C10" s="121"/>
      <c r="D10" s="121"/>
      <c r="E10" s="121"/>
      <c r="F10" s="121"/>
      <c r="G10" s="121"/>
    </row>
    <row r="11" spans="1:14" ht="18.75" x14ac:dyDescent="0.3">
      <c r="A11" s="116" t="s">
        <v>86</v>
      </c>
      <c r="B11" s="116"/>
      <c r="C11" s="116"/>
      <c r="D11" s="116"/>
      <c r="E11" s="116"/>
      <c r="F11" s="116"/>
      <c r="G11" s="116"/>
    </row>
    <row r="12" spans="1:14" x14ac:dyDescent="0.25">
      <c r="A12" s="114" t="s">
        <v>87</v>
      </c>
      <c r="B12" s="114"/>
      <c r="C12" s="114"/>
      <c r="D12" s="114"/>
      <c r="E12" s="114"/>
      <c r="F12" s="114"/>
      <c r="G12" s="114"/>
      <c r="H12" s="17"/>
    </row>
    <row r="13" spans="1:14" ht="16.5" thickBot="1" x14ac:dyDescent="0.3">
      <c r="A13" s="115" t="s">
        <v>9</v>
      </c>
      <c r="B13" s="115"/>
    </row>
    <row r="14" spans="1:14" s="5" customFormat="1" ht="15.75" thickBot="1" x14ac:dyDescent="0.3">
      <c r="A14" s="19" t="s">
        <v>15</v>
      </c>
      <c r="B14" s="18" t="s">
        <v>10</v>
      </c>
      <c r="C14" s="6"/>
      <c r="D14" s="19" t="s">
        <v>11</v>
      </c>
      <c r="E14" s="11" t="s">
        <v>12</v>
      </c>
      <c r="F14" s="19" t="s">
        <v>13</v>
      </c>
      <c r="G14" s="10" t="s">
        <v>14</v>
      </c>
    </row>
    <row r="15" spans="1:14" ht="16.5" thickBot="1" x14ac:dyDescent="0.3">
      <c r="A15" s="55" t="s">
        <v>16</v>
      </c>
      <c r="B15" s="23" t="s">
        <v>17</v>
      </c>
      <c r="C15" s="78"/>
      <c r="D15" s="21">
        <v>43682</v>
      </c>
      <c r="E15" s="13">
        <v>83160</v>
      </c>
      <c r="F15" s="13">
        <f t="shared" ref="F15:F28" si="0">E15*0.19</f>
        <v>15800.4</v>
      </c>
      <c r="G15" s="15">
        <v>99792</v>
      </c>
      <c r="I15" s="80"/>
      <c r="K15" s="52"/>
      <c r="L15" s="4"/>
      <c r="M15" s="52"/>
      <c r="N15" s="4"/>
    </row>
    <row r="16" spans="1:14" ht="16.5" thickBot="1" x14ac:dyDescent="0.3">
      <c r="A16" s="56" t="s">
        <v>16</v>
      </c>
      <c r="B16" s="36" t="s">
        <v>18</v>
      </c>
      <c r="C16" s="37"/>
      <c r="D16" s="38">
        <v>43682</v>
      </c>
      <c r="E16" s="13">
        <v>80080</v>
      </c>
      <c r="F16" s="39">
        <f t="shared" si="0"/>
        <v>15215.2</v>
      </c>
      <c r="G16" s="40">
        <v>96096</v>
      </c>
      <c r="I16" s="80"/>
      <c r="K16" s="33"/>
    </row>
    <row r="17" spans="1:11" ht="16.5" thickBot="1" x14ac:dyDescent="0.3">
      <c r="A17" s="55" t="s">
        <v>16</v>
      </c>
      <c r="B17" s="23" t="s">
        <v>19</v>
      </c>
      <c r="C17" s="8"/>
      <c r="D17" s="21">
        <v>43682</v>
      </c>
      <c r="E17" s="13">
        <v>78540</v>
      </c>
      <c r="F17" s="13">
        <f t="shared" si="0"/>
        <v>14922.6</v>
      </c>
      <c r="G17" s="15">
        <v>94248</v>
      </c>
      <c r="I17" s="80"/>
      <c r="K17" s="33"/>
    </row>
    <row r="18" spans="1:11" ht="16.5" thickBot="1" x14ac:dyDescent="0.3">
      <c r="A18" s="56" t="s">
        <v>16</v>
      </c>
      <c r="B18" s="36" t="s">
        <v>20</v>
      </c>
      <c r="C18" s="37"/>
      <c r="D18" s="38">
        <v>43682</v>
      </c>
      <c r="E18" s="42">
        <v>82759.600000000006</v>
      </c>
      <c r="F18" s="39">
        <f t="shared" si="0"/>
        <v>15724.324000000001</v>
      </c>
      <c r="G18" s="40">
        <v>99311.52</v>
      </c>
      <c r="I18" s="80"/>
      <c r="K18" s="33"/>
    </row>
    <row r="19" spans="1:11" ht="16.5" thickBot="1" x14ac:dyDescent="0.3">
      <c r="A19" s="55" t="s">
        <v>16</v>
      </c>
      <c r="B19" s="23" t="s">
        <v>21</v>
      </c>
      <c r="C19" s="8"/>
      <c r="D19" s="21">
        <v>43682</v>
      </c>
      <c r="E19" s="13">
        <v>81358.2</v>
      </c>
      <c r="F19" s="13">
        <f t="shared" si="0"/>
        <v>15458.057999999999</v>
      </c>
      <c r="G19" s="15">
        <v>97629.84</v>
      </c>
      <c r="I19" s="80"/>
      <c r="K19" s="33"/>
    </row>
    <row r="20" spans="1:11" ht="16.5" thickBot="1" x14ac:dyDescent="0.3">
      <c r="A20" s="77" t="s">
        <v>30</v>
      </c>
      <c r="B20" s="36" t="s">
        <v>22</v>
      </c>
      <c r="C20" s="37"/>
      <c r="D20" s="38">
        <v>43683</v>
      </c>
      <c r="E20" s="39">
        <v>82045.679999999993</v>
      </c>
      <c r="F20" s="39">
        <f t="shared" si="0"/>
        <v>15588.679199999999</v>
      </c>
      <c r="G20" s="40">
        <v>98454.82</v>
      </c>
      <c r="I20" s="80"/>
      <c r="K20" s="33"/>
    </row>
    <row r="21" spans="1:11" ht="16.5" thickBot="1" x14ac:dyDescent="0.3">
      <c r="A21" s="20" t="s">
        <v>30</v>
      </c>
      <c r="B21" s="23" t="s">
        <v>23</v>
      </c>
      <c r="C21" s="8"/>
      <c r="D21" s="21">
        <v>43683</v>
      </c>
      <c r="E21" s="13">
        <v>80340</v>
      </c>
      <c r="F21" s="13">
        <f t="shared" si="0"/>
        <v>15264.6</v>
      </c>
      <c r="G21" s="15">
        <v>96408</v>
      </c>
      <c r="I21" s="80"/>
      <c r="K21" s="33"/>
    </row>
    <row r="22" spans="1:11" ht="16.5" thickBot="1" x14ac:dyDescent="0.3">
      <c r="A22" s="35" t="s">
        <v>30</v>
      </c>
      <c r="B22" s="36" t="s">
        <v>24</v>
      </c>
      <c r="C22" s="37"/>
      <c r="D22" s="38">
        <v>43683</v>
      </c>
      <c r="E22" s="39">
        <v>80636.639999999999</v>
      </c>
      <c r="F22" s="39">
        <f t="shared" si="0"/>
        <v>15320.961600000001</v>
      </c>
      <c r="G22" s="40">
        <v>96763.97</v>
      </c>
      <c r="I22" s="80"/>
      <c r="K22" s="33"/>
    </row>
    <row r="23" spans="1:11" ht="16.5" thickBot="1" x14ac:dyDescent="0.3">
      <c r="A23" s="20" t="s">
        <v>31</v>
      </c>
      <c r="B23" s="23" t="s">
        <v>25</v>
      </c>
      <c r="C23" s="8"/>
      <c r="D23" s="21">
        <v>43683</v>
      </c>
      <c r="E23" s="13">
        <v>82620</v>
      </c>
      <c r="F23" s="13">
        <f t="shared" si="0"/>
        <v>15697.800000000001</v>
      </c>
      <c r="G23" s="15">
        <v>99144</v>
      </c>
      <c r="I23" s="80"/>
      <c r="K23" s="33"/>
    </row>
    <row r="24" spans="1:11" ht="16.5" thickBot="1" x14ac:dyDescent="0.3">
      <c r="A24" s="35" t="s">
        <v>31</v>
      </c>
      <c r="B24" s="36" t="s">
        <v>26</v>
      </c>
      <c r="C24" s="37"/>
      <c r="D24" s="38">
        <v>43683</v>
      </c>
      <c r="E24" s="39">
        <v>80445.149999999994</v>
      </c>
      <c r="F24" s="39">
        <f t="shared" si="0"/>
        <v>15284.5785</v>
      </c>
      <c r="G24" s="40">
        <v>96534.18</v>
      </c>
      <c r="I24" s="80"/>
      <c r="K24" s="33"/>
    </row>
    <row r="25" spans="1:11" ht="16.5" thickBot="1" x14ac:dyDescent="0.3">
      <c r="A25" s="20" t="s">
        <v>32</v>
      </c>
      <c r="B25" s="23" t="s">
        <v>27</v>
      </c>
      <c r="C25" s="8"/>
      <c r="D25" s="21">
        <v>43683</v>
      </c>
      <c r="E25" s="13">
        <v>78707.7</v>
      </c>
      <c r="F25" s="13">
        <f t="shared" si="0"/>
        <v>14954.463</v>
      </c>
      <c r="G25" s="15">
        <v>94449.24</v>
      </c>
      <c r="I25" s="80"/>
      <c r="K25" s="33"/>
    </row>
    <row r="26" spans="1:11" ht="16.5" thickBot="1" x14ac:dyDescent="0.3">
      <c r="A26" s="35" t="s">
        <v>31</v>
      </c>
      <c r="B26" s="36" t="s">
        <v>28</v>
      </c>
      <c r="C26" s="37"/>
      <c r="D26" s="38">
        <v>43683</v>
      </c>
      <c r="E26" s="39">
        <v>80967.600000000006</v>
      </c>
      <c r="F26" s="39">
        <f t="shared" si="0"/>
        <v>15383.844000000001</v>
      </c>
      <c r="G26" s="40">
        <v>97161.12</v>
      </c>
      <c r="I26" s="80"/>
      <c r="K26" s="33"/>
    </row>
    <row r="27" spans="1:11" ht="16.5" thickBot="1" x14ac:dyDescent="0.3">
      <c r="A27" s="20" t="s">
        <v>31</v>
      </c>
      <c r="B27" s="23" t="s">
        <v>29</v>
      </c>
      <c r="C27" s="8"/>
      <c r="D27" s="21">
        <v>43683</v>
      </c>
      <c r="E27" s="13">
        <v>81684.45</v>
      </c>
      <c r="F27" s="13">
        <f t="shared" si="0"/>
        <v>15520.0455</v>
      </c>
      <c r="G27" s="15">
        <v>98021.34</v>
      </c>
      <c r="I27" s="80"/>
      <c r="K27" s="33"/>
    </row>
    <row r="28" spans="1:11" ht="16.5" thickBot="1" x14ac:dyDescent="0.3">
      <c r="A28" s="35" t="s">
        <v>30</v>
      </c>
      <c r="B28" s="36" t="s">
        <v>33</v>
      </c>
      <c r="C28" s="37"/>
      <c r="D28" s="38">
        <v>43683</v>
      </c>
      <c r="E28" s="39">
        <v>82910.880000000005</v>
      </c>
      <c r="F28" s="39">
        <f t="shared" si="0"/>
        <v>15753.067200000001</v>
      </c>
      <c r="G28" s="40">
        <v>99493.06</v>
      </c>
      <c r="I28" s="80"/>
      <c r="K28" s="33"/>
    </row>
    <row r="29" spans="1:11" ht="16.5" thickBot="1" x14ac:dyDescent="0.3">
      <c r="A29" s="20" t="s">
        <v>30</v>
      </c>
      <c r="B29" s="23" t="s">
        <v>34</v>
      </c>
      <c r="C29" s="8"/>
      <c r="D29" s="21">
        <v>43683</v>
      </c>
      <c r="E29" s="13">
        <v>82490.64</v>
      </c>
      <c r="F29" s="13">
        <f t="shared" ref="F29:F60" si="1">E29*0.19</f>
        <v>15673.221600000001</v>
      </c>
      <c r="G29" s="15">
        <v>98988.77</v>
      </c>
      <c r="I29" s="80"/>
      <c r="K29" s="33"/>
    </row>
    <row r="30" spans="1:11" ht="16.5" thickBot="1" x14ac:dyDescent="0.3">
      <c r="A30" s="35" t="s">
        <v>16</v>
      </c>
      <c r="B30" s="36" t="s">
        <v>35</v>
      </c>
      <c r="C30" s="37"/>
      <c r="D30" s="38">
        <v>43683</v>
      </c>
      <c r="E30" s="39">
        <v>81804.800000000003</v>
      </c>
      <c r="F30" s="39">
        <f t="shared" si="1"/>
        <v>15542.912</v>
      </c>
      <c r="G30" s="40">
        <v>98165.759999999995</v>
      </c>
      <c r="I30" s="80"/>
      <c r="K30" s="33"/>
    </row>
    <row r="31" spans="1:11" ht="16.5" thickBot="1" x14ac:dyDescent="0.3">
      <c r="A31" s="20" t="s">
        <v>16</v>
      </c>
      <c r="B31" s="23" t="s">
        <v>36</v>
      </c>
      <c r="C31" s="8"/>
      <c r="D31" s="21">
        <v>43685</v>
      </c>
      <c r="E31" s="13">
        <v>81912.600000000006</v>
      </c>
      <c r="F31" s="13">
        <f t="shared" si="1"/>
        <v>15563.394000000002</v>
      </c>
      <c r="G31" s="15">
        <v>98295.12</v>
      </c>
      <c r="I31" s="80"/>
      <c r="K31" s="33"/>
    </row>
    <row r="32" spans="1:11" ht="16.5" thickBot="1" x14ac:dyDescent="0.3">
      <c r="A32" s="35" t="s">
        <v>16</v>
      </c>
      <c r="B32" s="36" t="s">
        <v>37</v>
      </c>
      <c r="C32" s="37"/>
      <c r="D32" s="38">
        <v>43685</v>
      </c>
      <c r="E32" s="39">
        <v>81050.2</v>
      </c>
      <c r="F32" s="39">
        <f t="shared" si="1"/>
        <v>15399.538</v>
      </c>
      <c r="G32" s="40">
        <v>98184.24</v>
      </c>
      <c r="I32" s="80"/>
      <c r="K32" s="33"/>
    </row>
    <row r="33" spans="1:11" ht="16.5" thickBot="1" x14ac:dyDescent="0.3">
      <c r="A33" s="20" t="s">
        <v>16</v>
      </c>
      <c r="B33" s="23" t="s">
        <v>38</v>
      </c>
      <c r="C33" s="8"/>
      <c r="D33" s="21">
        <v>43685</v>
      </c>
      <c r="E33" s="13">
        <v>81050.2</v>
      </c>
      <c r="F33" s="13">
        <f t="shared" si="1"/>
        <v>15399.538</v>
      </c>
      <c r="G33" s="15">
        <v>97260.24</v>
      </c>
      <c r="I33" s="80"/>
      <c r="K33" s="33"/>
    </row>
    <row r="34" spans="1:11" ht="16.5" thickBot="1" x14ac:dyDescent="0.3">
      <c r="A34" s="35" t="s">
        <v>16</v>
      </c>
      <c r="B34" s="36" t="s">
        <v>39</v>
      </c>
      <c r="C34" s="37"/>
      <c r="D34" s="38">
        <v>43688</v>
      </c>
      <c r="E34" s="39">
        <v>82898.2</v>
      </c>
      <c r="F34" s="39">
        <f t="shared" si="1"/>
        <v>15750.657999999999</v>
      </c>
      <c r="G34" s="40">
        <v>99477.84</v>
      </c>
      <c r="I34" s="80"/>
      <c r="K34" s="33"/>
    </row>
    <row r="35" spans="1:11" ht="16.5" thickBot="1" x14ac:dyDescent="0.3">
      <c r="A35" s="20" t="s">
        <v>16</v>
      </c>
      <c r="B35" s="23" t="s">
        <v>40</v>
      </c>
      <c r="C35" s="8"/>
      <c r="D35" s="21">
        <v>43688</v>
      </c>
      <c r="E35" s="13">
        <v>82282.2</v>
      </c>
      <c r="F35" s="13">
        <f t="shared" si="1"/>
        <v>15633.618</v>
      </c>
      <c r="G35" s="15">
        <v>98738.64</v>
      </c>
      <c r="I35" s="80"/>
      <c r="K35" s="33"/>
    </row>
    <row r="36" spans="1:11" ht="16.5" thickBot="1" x14ac:dyDescent="0.3">
      <c r="A36" s="35" t="s">
        <v>16</v>
      </c>
      <c r="B36" s="36" t="s">
        <v>41</v>
      </c>
      <c r="C36" s="37"/>
      <c r="D36" s="38">
        <v>43688</v>
      </c>
      <c r="E36" s="13">
        <v>81789.399999999994</v>
      </c>
      <c r="F36" s="39">
        <f t="shared" si="1"/>
        <v>15539.985999999999</v>
      </c>
      <c r="G36" s="40">
        <v>98147.28</v>
      </c>
      <c r="I36" s="80"/>
      <c r="K36" s="33"/>
    </row>
    <row r="37" spans="1:11" ht="16.5" thickBot="1" x14ac:dyDescent="0.3">
      <c r="A37" s="57" t="s">
        <v>16</v>
      </c>
      <c r="B37" s="23" t="s">
        <v>42</v>
      </c>
      <c r="C37" s="8"/>
      <c r="D37" s="21">
        <v>43690</v>
      </c>
      <c r="E37" s="39">
        <v>82251.399999999994</v>
      </c>
      <c r="F37" s="13">
        <f t="shared" si="1"/>
        <v>15627.766</v>
      </c>
      <c r="G37" s="15">
        <v>98701.68</v>
      </c>
      <c r="I37" s="80"/>
      <c r="K37" s="33"/>
    </row>
    <row r="38" spans="1:11" ht="16.5" thickBot="1" x14ac:dyDescent="0.3">
      <c r="A38" s="35" t="s">
        <v>16</v>
      </c>
      <c r="B38" s="36" t="s">
        <v>43</v>
      </c>
      <c r="C38" s="37"/>
      <c r="D38" s="38">
        <v>43690</v>
      </c>
      <c r="E38" s="13">
        <v>82913.600000000006</v>
      </c>
      <c r="F38" s="39">
        <f t="shared" si="1"/>
        <v>15753.584000000001</v>
      </c>
      <c r="G38" s="40">
        <v>99496.320000000007</v>
      </c>
      <c r="I38" s="80"/>
      <c r="K38" s="33"/>
    </row>
    <row r="39" spans="1:11" ht="16.5" thickBot="1" x14ac:dyDescent="0.3">
      <c r="A39" s="20" t="s">
        <v>16</v>
      </c>
      <c r="B39" s="23" t="s">
        <v>44</v>
      </c>
      <c r="C39" s="8"/>
      <c r="D39" s="21">
        <v>43690</v>
      </c>
      <c r="E39" s="39">
        <v>81543</v>
      </c>
      <c r="F39" s="13">
        <f t="shared" si="1"/>
        <v>15493.17</v>
      </c>
      <c r="G39" s="15">
        <v>97851.6</v>
      </c>
      <c r="I39" s="80"/>
      <c r="K39" s="33"/>
    </row>
    <row r="40" spans="1:11" ht="16.5" thickBot="1" x14ac:dyDescent="0.3">
      <c r="A40" s="35" t="s">
        <v>16</v>
      </c>
      <c r="B40" s="36" t="s">
        <v>45</v>
      </c>
      <c r="C40" s="37"/>
      <c r="D40" s="38">
        <v>43690</v>
      </c>
      <c r="E40" s="13">
        <v>80726.8</v>
      </c>
      <c r="F40" s="39">
        <f t="shared" si="1"/>
        <v>15338.092000000001</v>
      </c>
      <c r="G40" s="40">
        <v>96872.16</v>
      </c>
      <c r="I40" s="80"/>
      <c r="K40" s="33"/>
    </row>
    <row r="41" spans="1:11" ht="16.5" thickBot="1" x14ac:dyDescent="0.3">
      <c r="A41" s="20" t="s">
        <v>16</v>
      </c>
      <c r="B41" s="23" t="s">
        <v>46</v>
      </c>
      <c r="C41" s="8"/>
      <c r="D41" s="21">
        <v>43692</v>
      </c>
      <c r="E41" s="39">
        <v>83067.600000000006</v>
      </c>
      <c r="F41" s="13">
        <f t="shared" si="1"/>
        <v>15782.844000000001</v>
      </c>
      <c r="G41" s="15">
        <v>99681.12</v>
      </c>
      <c r="I41" s="80"/>
      <c r="K41" s="33"/>
    </row>
    <row r="42" spans="1:11" ht="16.5" thickBot="1" x14ac:dyDescent="0.3">
      <c r="A42" s="35" t="s">
        <v>16</v>
      </c>
      <c r="B42" s="36" t="s">
        <v>47</v>
      </c>
      <c r="C42" s="37"/>
      <c r="D42" s="38">
        <v>43692</v>
      </c>
      <c r="E42" s="13">
        <v>82959.8</v>
      </c>
      <c r="F42" s="39">
        <f t="shared" si="1"/>
        <v>15762.362000000001</v>
      </c>
      <c r="G42" s="40">
        <v>99551.76</v>
      </c>
      <c r="I42" s="80"/>
      <c r="K42" s="33"/>
    </row>
    <row r="43" spans="1:11" ht="16.5" thickBot="1" x14ac:dyDescent="0.3">
      <c r="A43" s="20" t="s">
        <v>16</v>
      </c>
      <c r="B43" s="23" t="s">
        <v>48</v>
      </c>
      <c r="C43" s="8"/>
      <c r="D43" s="21">
        <v>43692</v>
      </c>
      <c r="E43" s="39">
        <v>82651.8</v>
      </c>
      <c r="F43" s="13">
        <f t="shared" si="1"/>
        <v>15703.842000000001</v>
      </c>
      <c r="G43" s="15">
        <v>99182.16</v>
      </c>
      <c r="I43" s="80"/>
      <c r="K43" s="33"/>
    </row>
    <row r="44" spans="1:11" ht="16.5" thickBot="1" x14ac:dyDescent="0.3">
      <c r="A44" s="35" t="s">
        <v>85</v>
      </c>
      <c r="B44" s="36" t="s">
        <v>49</v>
      </c>
      <c r="C44" s="37"/>
      <c r="D44" s="38">
        <v>43695</v>
      </c>
      <c r="E44" s="13">
        <v>82189.8</v>
      </c>
      <c r="F44" s="39">
        <f t="shared" si="1"/>
        <v>15616.062</v>
      </c>
      <c r="G44" s="40">
        <v>98627.76</v>
      </c>
      <c r="I44" s="80"/>
      <c r="K44" s="33"/>
    </row>
    <row r="45" spans="1:11" ht="16.5" thickBot="1" x14ac:dyDescent="0.3">
      <c r="A45" s="20" t="s">
        <v>16</v>
      </c>
      <c r="B45" s="23" t="s">
        <v>50</v>
      </c>
      <c r="C45" s="8"/>
      <c r="D45" s="21">
        <v>43695</v>
      </c>
      <c r="E45" s="39">
        <v>83098.399999999994</v>
      </c>
      <c r="F45" s="13">
        <f t="shared" si="1"/>
        <v>15788.696</v>
      </c>
      <c r="G45" s="15">
        <v>99718.080000000002</v>
      </c>
      <c r="I45" s="80"/>
      <c r="K45" s="33"/>
    </row>
    <row r="46" spans="1:11" ht="16.5" thickBot="1" x14ac:dyDescent="0.3">
      <c r="A46" s="35" t="s">
        <v>16</v>
      </c>
      <c r="B46" s="36" t="s">
        <v>51</v>
      </c>
      <c r="C46" s="37"/>
      <c r="D46" s="38">
        <v>43695</v>
      </c>
      <c r="E46" s="13">
        <v>83144.600000000006</v>
      </c>
      <c r="F46" s="39">
        <f t="shared" si="1"/>
        <v>15797.474000000002</v>
      </c>
      <c r="G46" s="40">
        <v>99773.52</v>
      </c>
      <c r="I46" s="80"/>
      <c r="K46" s="33"/>
    </row>
    <row r="47" spans="1:11" ht="16.5" thickBot="1" x14ac:dyDescent="0.3">
      <c r="A47" s="20" t="s">
        <v>16</v>
      </c>
      <c r="B47" s="23" t="s">
        <v>52</v>
      </c>
      <c r="C47" s="8"/>
      <c r="D47" s="21">
        <v>43695</v>
      </c>
      <c r="E47" s="39">
        <v>83052.2</v>
      </c>
      <c r="F47" s="13">
        <f t="shared" si="1"/>
        <v>15779.918</v>
      </c>
      <c r="G47" s="15">
        <v>99662.64</v>
      </c>
      <c r="I47" s="80"/>
      <c r="K47" s="33"/>
    </row>
    <row r="48" spans="1:11" ht="16.5" thickBot="1" x14ac:dyDescent="0.3">
      <c r="A48" s="20" t="s">
        <v>16</v>
      </c>
      <c r="B48" s="23" t="s">
        <v>53</v>
      </c>
      <c r="C48" s="8"/>
      <c r="D48" s="21">
        <v>43696</v>
      </c>
      <c r="E48" s="13">
        <v>81589.2</v>
      </c>
      <c r="F48" s="13">
        <f t="shared" si="1"/>
        <v>15501.948</v>
      </c>
      <c r="G48" s="15">
        <v>97907.04</v>
      </c>
      <c r="I48" s="80"/>
      <c r="K48" s="33"/>
    </row>
    <row r="49" spans="1:11" ht="16.5" thickBot="1" x14ac:dyDescent="0.3">
      <c r="A49" s="20" t="s">
        <v>16</v>
      </c>
      <c r="B49" s="23" t="s">
        <v>54</v>
      </c>
      <c r="C49" s="8"/>
      <c r="D49" s="21">
        <v>43696</v>
      </c>
      <c r="E49" s="39">
        <v>83160</v>
      </c>
      <c r="F49" s="13">
        <f t="shared" si="1"/>
        <v>15800.4</v>
      </c>
      <c r="G49" s="15">
        <v>99792</v>
      </c>
      <c r="I49" s="80"/>
      <c r="K49" s="33"/>
    </row>
    <row r="50" spans="1:11" ht="16.5" thickBot="1" x14ac:dyDescent="0.3">
      <c r="A50" s="20" t="s">
        <v>16</v>
      </c>
      <c r="B50" s="23" t="s">
        <v>55</v>
      </c>
      <c r="C50" s="8"/>
      <c r="D50" s="21">
        <v>43696</v>
      </c>
      <c r="E50" s="13">
        <v>83190.8</v>
      </c>
      <c r="F50" s="13">
        <f t="shared" si="1"/>
        <v>15806.252</v>
      </c>
      <c r="G50" s="15">
        <v>99828.96</v>
      </c>
      <c r="I50" s="80"/>
      <c r="K50" s="33"/>
    </row>
    <row r="51" spans="1:11" ht="16.5" thickBot="1" x14ac:dyDescent="0.3">
      <c r="A51" s="20" t="s">
        <v>31</v>
      </c>
      <c r="B51" s="23" t="s">
        <v>56</v>
      </c>
      <c r="C51" s="8"/>
      <c r="D51" s="21">
        <v>43698</v>
      </c>
      <c r="E51" s="39">
        <v>82620</v>
      </c>
      <c r="F51" s="13">
        <f t="shared" si="1"/>
        <v>15697.800000000001</v>
      </c>
      <c r="G51" s="15">
        <v>99144</v>
      </c>
      <c r="I51" s="80"/>
      <c r="K51" s="33"/>
    </row>
    <row r="52" spans="1:11" ht="16.5" thickBot="1" x14ac:dyDescent="0.3">
      <c r="A52" s="20" t="s">
        <v>31</v>
      </c>
      <c r="B52" s="23" t="s">
        <v>57</v>
      </c>
      <c r="C52" s="8"/>
      <c r="D52" s="21">
        <v>43698</v>
      </c>
      <c r="E52" s="13">
        <v>82413.45</v>
      </c>
      <c r="F52" s="13">
        <f t="shared" si="1"/>
        <v>15658.5555</v>
      </c>
      <c r="G52" s="15">
        <v>98896.14</v>
      </c>
      <c r="I52" s="80"/>
      <c r="K52" s="33"/>
    </row>
    <row r="53" spans="1:11" ht="16.5" thickBot="1" x14ac:dyDescent="0.3">
      <c r="A53" s="20" t="s">
        <v>31</v>
      </c>
      <c r="B53" s="23" t="s">
        <v>58</v>
      </c>
      <c r="C53" s="8"/>
      <c r="D53" s="21">
        <v>43702</v>
      </c>
      <c r="E53" s="39">
        <v>81247.05</v>
      </c>
      <c r="F53" s="13">
        <f t="shared" si="1"/>
        <v>15436.9395</v>
      </c>
      <c r="G53" s="15">
        <v>97496.46</v>
      </c>
      <c r="I53" s="80"/>
      <c r="K53" s="33"/>
    </row>
    <row r="54" spans="1:11" ht="16.5" thickBot="1" x14ac:dyDescent="0.3">
      <c r="A54" s="35" t="s">
        <v>31</v>
      </c>
      <c r="B54" s="36" t="s">
        <v>59</v>
      </c>
      <c r="C54" s="37"/>
      <c r="D54" s="38">
        <v>43702</v>
      </c>
      <c r="E54" s="13">
        <v>82717.2</v>
      </c>
      <c r="F54" s="39">
        <f t="shared" si="1"/>
        <v>15716.268</v>
      </c>
      <c r="G54" s="40">
        <v>99260.64</v>
      </c>
      <c r="I54" s="80"/>
      <c r="J54" t="s">
        <v>88</v>
      </c>
      <c r="K54" s="33"/>
    </row>
    <row r="55" spans="1:11" ht="16.5" thickBot="1" x14ac:dyDescent="0.3">
      <c r="A55" s="20" t="s">
        <v>31</v>
      </c>
      <c r="B55" s="23" t="s">
        <v>60</v>
      </c>
      <c r="C55" s="8"/>
      <c r="D55" s="21">
        <v>43702</v>
      </c>
      <c r="E55" s="39">
        <v>82753.649999999994</v>
      </c>
      <c r="F55" s="13">
        <f t="shared" si="1"/>
        <v>15723.193499999999</v>
      </c>
      <c r="G55" s="15">
        <v>99304.38</v>
      </c>
      <c r="I55" s="80"/>
      <c r="J55" t="s">
        <v>88</v>
      </c>
      <c r="K55" s="33"/>
    </row>
    <row r="56" spans="1:11" ht="16.5" thickBot="1" x14ac:dyDescent="0.3">
      <c r="A56" s="35" t="s">
        <v>31</v>
      </c>
      <c r="B56" s="36" t="s">
        <v>61</v>
      </c>
      <c r="C56" s="37"/>
      <c r="D56" s="38">
        <v>43702</v>
      </c>
      <c r="E56" s="13">
        <v>82838.7</v>
      </c>
      <c r="F56" s="39">
        <f t="shared" si="1"/>
        <v>15739.352999999999</v>
      </c>
      <c r="G56" s="40">
        <v>99406.44</v>
      </c>
      <c r="I56" s="80"/>
      <c r="K56" s="33"/>
    </row>
    <row r="57" spans="1:11" ht="16.5" thickBot="1" x14ac:dyDescent="0.3">
      <c r="A57" s="20" t="s">
        <v>31</v>
      </c>
      <c r="B57" s="23" t="s">
        <v>62</v>
      </c>
      <c r="C57" s="8"/>
      <c r="D57" s="21">
        <v>43704</v>
      </c>
      <c r="E57" s="39">
        <v>83142.45</v>
      </c>
      <c r="F57" s="13">
        <f t="shared" si="1"/>
        <v>15797.065499999999</v>
      </c>
      <c r="G57" s="15">
        <v>99770.94</v>
      </c>
      <c r="I57" s="80"/>
      <c r="K57" s="33"/>
    </row>
    <row r="58" spans="1:11" ht="16.5" thickBot="1" x14ac:dyDescent="0.3">
      <c r="A58" s="35" t="s">
        <v>31</v>
      </c>
      <c r="B58" s="36" t="s">
        <v>63</v>
      </c>
      <c r="C58" s="37"/>
      <c r="D58" s="38">
        <v>43704</v>
      </c>
      <c r="E58" s="13">
        <v>83239.649999999994</v>
      </c>
      <c r="F58" s="39">
        <f t="shared" si="1"/>
        <v>15815.5335</v>
      </c>
      <c r="G58" s="40">
        <v>99887.58</v>
      </c>
      <c r="I58" s="80"/>
      <c r="K58" s="33"/>
    </row>
    <row r="59" spans="1:11" ht="16.5" thickBot="1" x14ac:dyDescent="0.3">
      <c r="A59" s="20" t="s">
        <v>31</v>
      </c>
      <c r="B59" s="23" t="s">
        <v>64</v>
      </c>
      <c r="C59" s="8"/>
      <c r="D59" s="21">
        <v>43704</v>
      </c>
      <c r="E59" s="39">
        <v>83227.5</v>
      </c>
      <c r="F59" s="13">
        <f t="shared" si="1"/>
        <v>15813.225</v>
      </c>
      <c r="G59" s="15">
        <v>99873</v>
      </c>
      <c r="I59" s="80"/>
      <c r="K59" s="33"/>
    </row>
    <row r="60" spans="1:11" ht="16.5" thickBot="1" x14ac:dyDescent="0.3">
      <c r="A60" s="35" t="s">
        <v>31</v>
      </c>
      <c r="B60" s="36" t="s">
        <v>65</v>
      </c>
      <c r="C60" s="37"/>
      <c r="D60" s="38">
        <v>43706</v>
      </c>
      <c r="E60" s="13">
        <v>82765.8</v>
      </c>
      <c r="F60" s="39">
        <f t="shared" si="1"/>
        <v>15725.502</v>
      </c>
      <c r="G60" s="40">
        <v>99318.96</v>
      </c>
      <c r="I60" s="80"/>
      <c r="K60" s="33"/>
    </row>
    <row r="61" spans="1:11" ht="16.5" thickBot="1" x14ac:dyDescent="0.3">
      <c r="A61" s="20" t="s">
        <v>31</v>
      </c>
      <c r="B61" s="23" t="s">
        <v>66</v>
      </c>
      <c r="C61" s="8"/>
      <c r="D61" s="21">
        <v>43706</v>
      </c>
      <c r="E61" s="39">
        <v>82729.350000000006</v>
      </c>
      <c r="F61" s="13">
        <f t="shared" ref="F61:F92" si="2">E61*0.19</f>
        <v>15718.576500000001</v>
      </c>
      <c r="G61" s="15">
        <v>99275.22</v>
      </c>
      <c r="I61" s="80"/>
      <c r="K61" s="33"/>
    </row>
    <row r="62" spans="1:11" ht="16.5" thickBot="1" x14ac:dyDescent="0.3">
      <c r="A62" s="35" t="s">
        <v>31</v>
      </c>
      <c r="B62" s="36" t="s">
        <v>67</v>
      </c>
      <c r="C62" s="37"/>
      <c r="D62" s="38">
        <v>43706</v>
      </c>
      <c r="E62" s="13">
        <v>82644.3</v>
      </c>
      <c r="F62" s="39">
        <f t="shared" si="2"/>
        <v>15702.417000000001</v>
      </c>
      <c r="G62" s="40">
        <v>99173.16</v>
      </c>
      <c r="I62" s="80"/>
      <c r="K62" s="33"/>
    </row>
    <row r="63" spans="1:11" ht="16.5" thickBot="1" x14ac:dyDescent="0.3">
      <c r="A63" s="20" t="s">
        <v>31</v>
      </c>
      <c r="B63" s="23" t="s">
        <v>68</v>
      </c>
      <c r="C63" s="8"/>
      <c r="D63" s="21">
        <v>43709</v>
      </c>
      <c r="E63" s="39">
        <v>82632.149999999994</v>
      </c>
      <c r="F63" s="13">
        <f t="shared" si="2"/>
        <v>15700.108499999998</v>
      </c>
      <c r="G63" s="15">
        <v>99158.58</v>
      </c>
      <c r="I63" s="80"/>
      <c r="K63" s="33"/>
    </row>
    <row r="64" spans="1:11" ht="16.5" thickBot="1" x14ac:dyDescent="0.3">
      <c r="A64" s="20" t="s">
        <v>31</v>
      </c>
      <c r="B64" s="23" t="s">
        <v>69</v>
      </c>
      <c r="C64" s="8"/>
      <c r="D64" s="21">
        <v>43709</v>
      </c>
      <c r="E64" s="13">
        <v>82389.149999999994</v>
      </c>
      <c r="F64" s="13">
        <f t="shared" si="2"/>
        <v>15653.938499999998</v>
      </c>
      <c r="G64" s="15">
        <v>98866.98</v>
      </c>
      <c r="I64" s="80"/>
      <c r="K64" s="33"/>
    </row>
    <row r="65" spans="1:11" ht="16.5" thickBot="1" x14ac:dyDescent="0.3">
      <c r="A65" s="35" t="s">
        <v>31</v>
      </c>
      <c r="B65" s="36" t="s">
        <v>70</v>
      </c>
      <c r="C65" s="37"/>
      <c r="D65" s="38">
        <v>43709</v>
      </c>
      <c r="E65" s="39">
        <v>79959.149999999994</v>
      </c>
      <c r="F65" s="39">
        <f t="shared" si="2"/>
        <v>15192.238499999999</v>
      </c>
      <c r="G65" s="40">
        <v>95950.98</v>
      </c>
      <c r="I65" s="80"/>
      <c r="K65" s="33"/>
    </row>
    <row r="66" spans="1:11" ht="16.5" thickBot="1" x14ac:dyDescent="0.3">
      <c r="A66" s="20" t="s">
        <v>31</v>
      </c>
      <c r="B66" s="23" t="s">
        <v>71</v>
      </c>
      <c r="C66" s="8"/>
      <c r="D66" s="21">
        <v>43709</v>
      </c>
      <c r="E66" s="13">
        <v>80566.649999999994</v>
      </c>
      <c r="F66" s="13">
        <f t="shared" si="2"/>
        <v>15307.663499999999</v>
      </c>
      <c r="G66" s="15">
        <v>96679.98</v>
      </c>
      <c r="I66" s="80"/>
      <c r="K66" s="33"/>
    </row>
    <row r="67" spans="1:11" ht="16.5" thickBot="1" x14ac:dyDescent="0.3">
      <c r="A67" s="35" t="s">
        <v>30</v>
      </c>
      <c r="B67" s="36" t="s">
        <v>72</v>
      </c>
      <c r="C67" s="37"/>
      <c r="D67" s="38">
        <v>43709</v>
      </c>
      <c r="E67" s="39">
        <v>81761.399999999994</v>
      </c>
      <c r="F67" s="39">
        <f t="shared" si="2"/>
        <v>15534.665999999999</v>
      </c>
      <c r="G67" s="40">
        <v>98113.68</v>
      </c>
      <c r="I67" s="80"/>
      <c r="K67" s="33"/>
    </row>
    <row r="68" spans="1:11" ht="16.5" thickBot="1" x14ac:dyDescent="0.3">
      <c r="A68" s="20" t="s">
        <v>30</v>
      </c>
      <c r="B68" s="23" t="s">
        <v>73</v>
      </c>
      <c r="C68" s="8"/>
      <c r="D68" s="21">
        <v>43712</v>
      </c>
      <c r="E68" s="13">
        <v>81810.84</v>
      </c>
      <c r="F68" s="13">
        <f t="shared" si="2"/>
        <v>15544.059599999999</v>
      </c>
      <c r="G68" s="15">
        <v>98173.01</v>
      </c>
      <c r="I68" s="80"/>
      <c r="K68" s="33"/>
    </row>
    <row r="69" spans="1:11" ht="16.5" thickBot="1" x14ac:dyDescent="0.3">
      <c r="A69" s="35" t="s">
        <v>30</v>
      </c>
      <c r="B69" s="36" t="s">
        <v>74</v>
      </c>
      <c r="C69" s="37"/>
      <c r="D69" s="38">
        <v>43712</v>
      </c>
      <c r="E69" s="39">
        <v>81922.080000000002</v>
      </c>
      <c r="F69" s="39">
        <f t="shared" si="2"/>
        <v>15565.1952</v>
      </c>
      <c r="G69" s="40">
        <v>98306.5</v>
      </c>
      <c r="I69" s="80"/>
      <c r="K69" s="33"/>
    </row>
    <row r="70" spans="1:11" ht="16.5" thickBot="1" x14ac:dyDescent="0.3">
      <c r="A70" s="20" t="s">
        <v>30</v>
      </c>
      <c r="B70" s="23" t="s">
        <v>75</v>
      </c>
      <c r="C70" s="8"/>
      <c r="D70" s="21">
        <v>43712</v>
      </c>
      <c r="E70" s="13">
        <v>82033.320000000007</v>
      </c>
      <c r="F70" s="13">
        <f t="shared" si="2"/>
        <v>15586.330800000002</v>
      </c>
      <c r="G70" s="15">
        <v>98439.98</v>
      </c>
      <c r="I70" s="80"/>
      <c r="K70" s="33"/>
    </row>
    <row r="71" spans="1:11" ht="16.5" thickBot="1" x14ac:dyDescent="0.3">
      <c r="A71" s="35" t="s">
        <v>30</v>
      </c>
      <c r="B71" s="36" t="s">
        <v>76</v>
      </c>
      <c r="C71" s="37"/>
      <c r="D71" s="38">
        <v>43716</v>
      </c>
      <c r="E71" s="39">
        <v>81786.12</v>
      </c>
      <c r="F71" s="39">
        <f t="shared" si="2"/>
        <v>15539.362799999999</v>
      </c>
      <c r="G71" s="40">
        <v>98143.34</v>
      </c>
      <c r="I71" s="80"/>
      <c r="K71" s="33"/>
    </row>
    <row r="72" spans="1:11" ht="16.5" thickBot="1" x14ac:dyDescent="0.3">
      <c r="A72" s="20" t="s">
        <v>30</v>
      </c>
      <c r="B72" s="23" t="s">
        <v>77</v>
      </c>
      <c r="C72" s="8"/>
      <c r="D72" s="21">
        <v>43716</v>
      </c>
      <c r="E72" s="13">
        <v>81687.240000000005</v>
      </c>
      <c r="F72" s="13">
        <f t="shared" si="2"/>
        <v>15520.575600000002</v>
      </c>
      <c r="G72" s="15">
        <v>98024.69</v>
      </c>
      <c r="I72" s="80"/>
      <c r="K72" s="33"/>
    </row>
    <row r="73" spans="1:11" ht="16.5" thickBot="1" x14ac:dyDescent="0.3">
      <c r="A73" s="35" t="s">
        <v>30</v>
      </c>
      <c r="B73" s="36" t="s">
        <v>78</v>
      </c>
      <c r="C73" s="37"/>
      <c r="D73" s="38">
        <v>43717</v>
      </c>
      <c r="E73" s="39">
        <v>81724.320000000007</v>
      </c>
      <c r="F73" s="39">
        <f t="shared" si="2"/>
        <v>15527.620800000001</v>
      </c>
      <c r="G73" s="40">
        <v>98069.18</v>
      </c>
      <c r="I73" s="80"/>
      <c r="K73" s="33"/>
    </row>
    <row r="74" spans="1:11" ht="16.5" thickBot="1" x14ac:dyDescent="0.3">
      <c r="A74" s="20" t="s">
        <v>30</v>
      </c>
      <c r="B74" s="23" t="s">
        <v>79</v>
      </c>
      <c r="C74" s="8"/>
      <c r="D74" s="21">
        <v>43717</v>
      </c>
      <c r="E74" s="13">
        <v>81847.92</v>
      </c>
      <c r="F74" s="13">
        <f t="shared" si="2"/>
        <v>15551.104799999999</v>
      </c>
      <c r="G74" s="15">
        <v>98217.5</v>
      </c>
      <c r="I74" s="80"/>
      <c r="K74" s="33"/>
    </row>
    <row r="75" spans="1:11" ht="16.5" thickBot="1" x14ac:dyDescent="0.3">
      <c r="A75" s="35" t="s">
        <v>30</v>
      </c>
      <c r="B75" s="36" t="s">
        <v>80</v>
      </c>
      <c r="C75" s="37"/>
      <c r="D75" s="38">
        <v>43720</v>
      </c>
      <c r="E75" s="39">
        <v>81971.509999999995</v>
      </c>
      <c r="F75" s="39">
        <f t="shared" si="2"/>
        <v>15574.586899999998</v>
      </c>
      <c r="G75" s="40">
        <v>98365.82</v>
      </c>
      <c r="I75" s="80"/>
      <c r="K75" s="33"/>
    </row>
    <row r="76" spans="1:11" ht="16.5" thickBot="1" x14ac:dyDescent="0.3">
      <c r="A76" s="20" t="s">
        <v>30</v>
      </c>
      <c r="B76" s="23" t="s">
        <v>81</v>
      </c>
      <c r="C76" s="8"/>
      <c r="D76" s="21">
        <v>43720</v>
      </c>
      <c r="E76" s="13">
        <v>81996.240000000005</v>
      </c>
      <c r="F76" s="13">
        <f t="shared" si="2"/>
        <v>15579.285600000001</v>
      </c>
      <c r="G76" s="15">
        <v>98395.49</v>
      </c>
      <c r="I76" s="80"/>
      <c r="K76" s="33"/>
    </row>
    <row r="77" spans="1:11" ht="16.5" thickBot="1" x14ac:dyDescent="0.3">
      <c r="A77" s="35" t="s">
        <v>30</v>
      </c>
      <c r="B77" s="36" t="s">
        <v>82</v>
      </c>
      <c r="C77" s="37"/>
      <c r="D77" s="38">
        <v>43720</v>
      </c>
      <c r="E77" s="39">
        <v>82045.679999999993</v>
      </c>
      <c r="F77" s="39">
        <f t="shared" si="2"/>
        <v>15588.679199999999</v>
      </c>
      <c r="G77" s="40">
        <v>98454.82</v>
      </c>
      <c r="I77" s="80"/>
      <c r="K77" s="33"/>
    </row>
    <row r="78" spans="1:11" ht="16.5" thickBot="1" x14ac:dyDescent="0.3">
      <c r="A78" s="20" t="s">
        <v>30</v>
      </c>
      <c r="B78" s="23" t="s">
        <v>83</v>
      </c>
      <c r="C78" s="8"/>
      <c r="D78" s="21">
        <v>43723</v>
      </c>
      <c r="E78" s="13">
        <v>82095.12</v>
      </c>
      <c r="F78" s="13">
        <f t="shared" si="2"/>
        <v>15598.0728</v>
      </c>
      <c r="G78" s="15">
        <v>98514.14</v>
      </c>
      <c r="I78" s="80"/>
      <c r="K78" s="33"/>
    </row>
    <row r="79" spans="1:11" ht="16.5" thickBot="1" x14ac:dyDescent="0.3">
      <c r="A79" s="75" t="s">
        <v>30</v>
      </c>
      <c r="B79" s="63" t="s">
        <v>84</v>
      </c>
      <c r="C79" s="64"/>
      <c r="D79" s="76">
        <v>43723</v>
      </c>
      <c r="E79" s="39">
        <v>82231.08</v>
      </c>
      <c r="F79" s="67">
        <f t="shared" si="2"/>
        <v>15623.905200000001</v>
      </c>
      <c r="G79" s="68">
        <v>98677.3</v>
      </c>
      <c r="I79" s="80"/>
      <c r="K79" s="33"/>
    </row>
    <row r="80" spans="1:11" ht="16.5" thickBot="1" x14ac:dyDescent="0.3">
      <c r="A80" s="55" t="s">
        <v>30</v>
      </c>
      <c r="B80" s="23" t="s">
        <v>89</v>
      </c>
      <c r="C80" s="8"/>
      <c r="D80" s="21">
        <v>43723</v>
      </c>
      <c r="E80" s="13">
        <v>82156.92</v>
      </c>
      <c r="F80" s="13">
        <f t="shared" si="2"/>
        <v>15609.8148</v>
      </c>
      <c r="G80" s="72">
        <v>98588.3</v>
      </c>
      <c r="I80" s="80"/>
      <c r="K80" s="33"/>
    </row>
    <row r="81" spans="1:11" ht="16.5" thickBot="1" x14ac:dyDescent="0.3">
      <c r="A81" s="56" t="s">
        <v>30</v>
      </c>
      <c r="B81" s="36" t="s">
        <v>90</v>
      </c>
      <c r="C81" s="37"/>
      <c r="D81" s="38">
        <v>43723</v>
      </c>
      <c r="E81" s="39">
        <v>81736.679999999993</v>
      </c>
      <c r="F81" s="39">
        <f t="shared" si="2"/>
        <v>15529.9692</v>
      </c>
      <c r="G81" s="73">
        <v>98084.02</v>
      </c>
      <c r="I81" s="80"/>
      <c r="K81" s="33"/>
    </row>
    <row r="82" spans="1:11" ht="16.5" thickBot="1" x14ac:dyDescent="0.3">
      <c r="A82" s="55" t="s">
        <v>30</v>
      </c>
      <c r="B82" s="23" t="s">
        <v>91</v>
      </c>
      <c r="C82" s="8"/>
      <c r="D82" s="21">
        <v>43723</v>
      </c>
      <c r="E82" s="13">
        <v>81786.12</v>
      </c>
      <c r="F82" s="13">
        <f t="shared" si="2"/>
        <v>15539.362799999999</v>
      </c>
      <c r="G82" s="72">
        <v>98143.34</v>
      </c>
      <c r="I82" s="80"/>
      <c r="K82" s="33"/>
    </row>
    <row r="83" spans="1:11" ht="16.5" thickBot="1" x14ac:dyDescent="0.3">
      <c r="A83" s="56" t="s">
        <v>30</v>
      </c>
      <c r="B83" s="36" t="s">
        <v>92</v>
      </c>
      <c r="C83" s="37"/>
      <c r="D83" s="38">
        <v>43723</v>
      </c>
      <c r="E83" s="39">
        <v>81909.710000000006</v>
      </c>
      <c r="F83" s="39">
        <f t="shared" si="2"/>
        <v>15562.844900000002</v>
      </c>
      <c r="G83" s="73">
        <v>98291.66</v>
      </c>
      <c r="I83" s="80"/>
      <c r="K83" s="33"/>
    </row>
    <row r="84" spans="1:11" ht="16.5" thickBot="1" x14ac:dyDescent="0.3">
      <c r="A84" s="55" t="s">
        <v>30</v>
      </c>
      <c r="B84" s="23" t="s">
        <v>93</v>
      </c>
      <c r="C84" s="8"/>
      <c r="D84" s="21">
        <v>43723</v>
      </c>
      <c r="E84" s="13">
        <v>82280.509999999995</v>
      </c>
      <c r="F84" s="13">
        <f t="shared" si="2"/>
        <v>15633.296899999999</v>
      </c>
      <c r="G84" s="72">
        <v>98736.62</v>
      </c>
      <c r="I84" s="80"/>
      <c r="K84" s="33"/>
    </row>
    <row r="85" spans="1:11" ht="16.5" thickBot="1" x14ac:dyDescent="0.3">
      <c r="A85" s="62" t="s">
        <v>30</v>
      </c>
      <c r="B85" s="63" t="s">
        <v>94</v>
      </c>
      <c r="C85" s="64"/>
      <c r="D85" s="76">
        <v>43723</v>
      </c>
      <c r="E85" s="39">
        <v>82305.240000000005</v>
      </c>
      <c r="F85" s="67">
        <f t="shared" si="2"/>
        <v>15637.995600000002</v>
      </c>
      <c r="G85" s="74">
        <v>98766.29</v>
      </c>
      <c r="I85" s="80"/>
      <c r="K85" s="33"/>
    </row>
    <row r="86" spans="1:11" ht="16.5" thickBot="1" x14ac:dyDescent="0.3">
      <c r="A86" s="55" t="s">
        <v>16</v>
      </c>
      <c r="B86" s="23" t="s">
        <v>95</v>
      </c>
      <c r="C86" s="8"/>
      <c r="D86" s="21">
        <v>43725</v>
      </c>
      <c r="E86" s="13">
        <v>77954.8</v>
      </c>
      <c r="F86" s="13">
        <f t="shared" si="2"/>
        <v>14811.412</v>
      </c>
      <c r="G86" s="72">
        <v>93545.76</v>
      </c>
      <c r="I86" s="80"/>
      <c r="K86" s="33"/>
    </row>
    <row r="87" spans="1:11" ht="16.5" thickBot="1" x14ac:dyDescent="0.3">
      <c r="A87" s="56" t="s">
        <v>16</v>
      </c>
      <c r="B87" s="36" t="s">
        <v>96</v>
      </c>
      <c r="C87" s="37"/>
      <c r="D87" s="38">
        <v>43725</v>
      </c>
      <c r="E87" s="39">
        <v>82590.2</v>
      </c>
      <c r="F87" s="39">
        <f t="shared" si="2"/>
        <v>15692.137999999999</v>
      </c>
      <c r="G87" s="73">
        <v>99108.24</v>
      </c>
      <c r="I87" s="80"/>
      <c r="K87" s="33"/>
    </row>
    <row r="88" spans="1:11" ht="16.5" thickBot="1" x14ac:dyDescent="0.3">
      <c r="A88" s="55" t="s">
        <v>16</v>
      </c>
      <c r="B88" s="23" t="s">
        <v>97</v>
      </c>
      <c r="C88" s="8"/>
      <c r="D88" s="21">
        <v>43725</v>
      </c>
      <c r="E88" s="13">
        <v>82744.2</v>
      </c>
      <c r="F88" s="13">
        <f t="shared" si="2"/>
        <v>15721.397999999999</v>
      </c>
      <c r="G88" s="72">
        <v>99293.04</v>
      </c>
      <c r="I88" s="80"/>
      <c r="K88" s="33"/>
    </row>
    <row r="89" spans="1:11" ht="16.5" thickBot="1" x14ac:dyDescent="0.3">
      <c r="A89" s="56" t="s">
        <v>16</v>
      </c>
      <c r="B89" s="36" t="s">
        <v>98</v>
      </c>
      <c r="C89" s="37"/>
      <c r="D89" s="38">
        <v>43727</v>
      </c>
      <c r="E89" s="39">
        <v>82790.399999999994</v>
      </c>
      <c r="F89" s="39">
        <f t="shared" si="2"/>
        <v>15730.175999999999</v>
      </c>
      <c r="G89" s="73">
        <v>99348.479999999996</v>
      </c>
      <c r="I89" s="80"/>
      <c r="K89" s="33"/>
    </row>
    <row r="90" spans="1:11" ht="16.5" thickBot="1" x14ac:dyDescent="0.3">
      <c r="A90" s="55" t="s">
        <v>16</v>
      </c>
      <c r="B90" s="23" t="s">
        <v>99</v>
      </c>
      <c r="C90" s="8"/>
      <c r="D90" s="21">
        <v>43727</v>
      </c>
      <c r="E90" s="13">
        <v>82713.399999999994</v>
      </c>
      <c r="F90" s="13">
        <f t="shared" si="2"/>
        <v>15715.545999999998</v>
      </c>
      <c r="G90" s="72">
        <v>99256.08</v>
      </c>
      <c r="I90" s="80"/>
      <c r="K90" s="33"/>
    </row>
    <row r="91" spans="1:11" ht="16.5" thickBot="1" x14ac:dyDescent="0.3">
      <c r="A91" s="56" t="s">
        <v>16</v>
      </c>
      <c r="B91" s="36" t="s">
        <v>100</v>
      </c>
      <c r="C91" s="37"/>
      <c r="D91" s="38">
        <v>43730</v>
      </c>
      <c r="E91" s="39">
        <v>82667.199999999997</v>
      </c>
      <c r="F91" s="39">
        <f t="shared" si="2"/>
        <v>15706.768</v>
      </c>
      <c r="G91" s="73">
        <v>99200.639999999999</v>
      </c>
      <c r="I91" s="80"/>
      <c r="K91" s="33"/>
    </row>
    <row r="92" spans="1:11" ht="16.5" thickBot="1" x14ac:dyDescent="0.3">
      <c r="A92" s="55" t="s">
        <v>16</v>
      </c>
      <c r="B92" s="23" t="s">
        <v>101</v>
      </c>
      <c r="C92" s="8"/>
      <c r="D92" s="21">
        <v>43730</v>
      </c>
      <c r="E92" s="13">
        <v>82528.600000000006</v>
      </c>
      <c r="F92" s="13">
        <f t="shared" si="2"/>
        <v>15680.434000000001</v>
      </c>
      <c r="G92" s="72">
        <v>99034.32</v>
      </c>
      <c r="I92" s="80"/>
      <c r="K92" s="33"/>
    </row>
    <row r="93" spans="1:11" ht="16.5" thickBot="1" x14ac:dyDescent="0.3">
      <c r="A93" s="56" t="s">
        <v>16</v>
      </c>
      <c r="B93" s="36" t="s">
        <v>102</v>
      </c>
      <c r="C93" s="37"/>
      <c r="D93" s="38">
        <v>43730</v>
      </c>
      <c r="E93" s="39">
        <v>82220.600000000006</v>
      </c>
      <c r="F93" s="39">
        <f t="shared" ref="F93:F108" si="3">E93*0.19</f>
        <v>15621.914000000001</v>
      </c>
      <c r="G93" s="73">
        <v>98664.72</v>
      </c>
      <c r="I93" s="80"/>
      <c r="K93" s="33"/>
    </row>
    <row r="94" spans="1:11" ht="16.5" thickBot="1" x14ac:dyDescent="0.3">
      <c r="A94" s="55" t="s">
        <v>16</v>
      </c>
      <c r="B94" s="23" t="s">
        <v>103</v>
      </c>
      <c r="C94" s="8"/>
      <c r="D94" s="21">
        <v>43730</v>
      </c>
      <c r="E94" s="13">
        <v>82066.600000000006</v>
      </c>
      <c r="F94" s="13">
        <f t="shared" si="3"/>
        <v>15592.654</v>
      </c>
      <c r="G94" s="72">
        <v>98479.92</v>
      </c>
      <c r="I94" s="80"/>
      <c r="K94" s="33"/>
    </row>
    <row r="95" spans="1:11" ht="16.5" thickBot="1" x14ac:dyDescent="0.3">
      <c r="A95" s="56" t="s">
        <v>16</v>
      </c>
      <c r="B95" s="36" t="s">
        <v>104</v>
      </c>
      <c r="C95" s="37"/>
      <c r="D95" s="38">
        <v>43730</v>
      </c>
      <c r="E95" s="39">
        <v>81943.399999999994</v>
      </c>
      <c r="F95" s="39">
        <f t="shared" si="3"/>
        <v>15569.245999999999</v>
      </c>
      <c r="G95" s="73">
        <v>98332.08</v>
      </c>
      <c r="I95" s="80"/>
      <c r="K95" s="33"/>
    </row>
    <row r="96" spans="1:11" ht="16.5" thickBot="1" x14ac:dyDescent="0.3">
      <c r="A96" s="55" t="s">
        <v>16</v>
      </c>
      <c r="B96" s="23" t="s">
        <v>105</v>
      </c>
      <c r="C96" s="8"/>
      <c r="D96" s="129" t="s">
        <v>118</v>
      </c>
      <c r="E96" s="13">
        <v>81481.399999999994</v>
      </c>
      <c r="F96" s="13">
        <f t="shared" si="3"/>
        <v>15481.465999999999</v>
      </c>
      <c r="G96" s="72">
        <v>97777.68</v>
      </c>
      <c r="I96" s="80"/>
      <c r="K96" s="33"/>
    </row>
    <row r="97" spans="1:11" ht="16.5" thickBot="1" x14ac:dyDescent="0.3">
      <c r="A97" s="55" t="s">
        <v>16</v>
      </c>
      <c r="B97" s="23" t="s">
        <v>106</v>
      </c>
      <c r="C97" s="8"/>
      <c r="D97" s="21">
        <v>43730</v>
      </c>
      <c r="E97" s="39">
        <v>81481.399999999994</v>
      </c>
      <c r="F97" s="13">
        <f t="shared" si="3"/>
        <v>15481.465999999999</v>
      </c>
      <c r="G97" s="72">
        <v>97925.52</v>
      </c>
      <c r="I97" s="80"/>
      <c r="K97" s="33"/>
    </row>
    <row r="98" spans="1:11" ht="16.5" thickBot="1" x14ac:dyDescent="0.3">
      <c r="A98" s="55" t="s">
        <v>16</v>
      </c>
      <c r="B98" s="23" t="s">
        <v>107</v>
      </c>
      <c r="C98" s="8"/>
      <c r="D98" s="21">
        <v>43730</v>
      </c>
      <c r="E98" s="13">
        <v>83098.399999999994</v>
      </c>
      <c r="F98" s="13">
        <f t="shared" si="3"/>
        <v>15788.696</v>
      </c>
      <c r="G98" s="72">
        <v>99718.080000000002</v>
      </c>
      <c r="I98" s="80"/>
      <c r="K98" s="33"/>
    </row>
    <row r="99" spans="1:11" ht="16.5" thickBot="1" x14ac:dyDescent="0.3">
      <c r="A99" s="55" t="s">
        <v>16</v>
      </c>
      <c r="B99" s="23" t="s">
        <v>108</v>
      </c>
      <c r="C99" s="8"/>
      <c r="D99" s="21">
        <v>43733</v>
      </c>
      <c r="E99" s="39">
        <v>80958</v>
      </c>
      <c r="F99" s="13">
        <f t="shared" si="3"/>
        <v>15382.02</v>
      </c>
      <c r="G99" s="15">
        <v>97149.6</v>
      </c>
      <c r="I99" s="80"/>
      <c r="K99" s="33"/>
    </row>
    <row r="100" spans="1:11" ht="16.5" thickBot="1" x14ac:dyDescent="0.3">
      <c r="A100" s="56" t="s">
        <v>16</v>
      </c>
      <c r="B100" s="36" t="s">
        <v>109</v>
      </c>
      <c r="C100" s="37"/>
      <c r="D100" s="38">
        <v>43733</v>
      </c>
      <c r="E100" s="13">
        <v>80340</v>
      </c>
      <c r="F100" s="39">
        <f t="shared" si="3"/>
        <v>15264.6</v>
      </c>
      <c r="G100" s="40">
        <v>96408</v>
      </c>
      <c r="I100" s="80"/>
      <c r="K100" s="33"/>
    </row>
    <row r="101" spans="1:11" ht="16.5" thickBot="1" x14ac:dyDescent="0.3">
      <c r="A101" s="55" t="s">
        <v>16</v>
      </c>
      <c r="B101" s="23" t="s">
        <v>110</v>
      </c>
      <c r="C101" s="8"/>
      <c r="D101" s="21">
        <v>43733</v>
      </c>
      <c r="E101" s="39">
        <v>81304.08</v>
      </c>
      <c r="F101" s="13">
        <f t="shared" si="3"/>
        <v>15447.7752</v>
      </c>
      <c r="G101" s="15">
        <v>97564.9</v>
      </c>
      <c r="I101" s="80"/>
      <c r="K101" s="33"/>
    </row>
    <row r="102" spans="1:11" ht="16.5" thickBot="1" x14ac:dyDescent="0.3">
      <c r="A102" s="55" t="s">
        <v>16</v>
      </c>
      <c r="B102" s="23" t="s">
        <v>111</v>
      </c>
      <c r="C102" s="8"/>
      <c r="D102" s="21">
        <v>43733</v>
      </c>
      <c r="E102" s="13">
        <v>82540.08</v>
      </c>
      <c r="F102" s="13">
        <f t="shared" si="3"/>
        <v>15682.6152</v>
      </c>
      <c r="G102" s="15">
        <v>99048.1</v>
      </c>
      <c r="I102" s="80"/>
      <c r="K102" s="33"/>
    </row>
    <row r="103" spans="1:11" ht="16.5" thickBot="1" x14ac:dyDescent="0.3">
      <c r="A103" s="55" t="s">
        <v>16</v>
      </c>
      <c r="B103" s="23" t="s">
        <v>112</v>
      </c>
      <c r="C103" s="8"/>
      <c r="D103" s="21">
        <v>43733</v>
      </c>
      <c r="E103" s="39">
        <v>82490.64</v>
      </c>
      <c r="F103" s="13">
        <f t="shared" si="3"/>
        <v>15673.221600000001</v>
      </c>
      <c r="G103" s="15">
        <v>98988.77</v>
      </c>
      <c r="I103" s="80"/>
      <c r="K103" s="33"/>
    </row>
    <row r="104" spans="1:11" ht="16.5" thickBot="1" x14ac:dyDescent="0.3">
      <c r="A104" s="56" t="s">
        <v>16</v>
      </c>
      <c r="B104" s="36" t="s">
        <v>113</v>
      </c>
      <c r="C104" s="37"/>
      <c r="D104" s="38">
        <v>43737</v>
      </c>
      <c r="E104" s="13">
        <v>82441.2</v>
      </c>
      <c r="F104" s="39">
        <f t="shared" si="3"/>
        <v>15663.828</v>
      </c>
      <c r="G104" s="40">
        <v>98929.44</v>
      </c>
      <c r="I104" s="80"/>
      <c r="K104" s="33"/>
    </row>
    <row r="105" spans="1:11" ht="16.5" thickBot="1" x14ac:dyDescent="0.3">
      <c r="A105" s="55" t="s">
        <v>16</v>
      </c>
      <c r="B105" s="23" t="s">
        <v>114</v>
      </c>
      <c r="C105" s="8"/>
      <c r="D105" s="21">
        <v>43737</v>
      </c>
      <c r="E105" s="39">
        <v>82812</v>
      </c>
      <c r="F105" s="13">
        <f t="shared" si="3"/>
        <v>15734.28</v>
      </c>
      <c r="G105" s="15">
        <v>99374.399999999994</v>
      </c>
      <c r="I105" s="80"/>
      <c r="K105" s="33"/>
    </row>
    <row r="106" spans="1:11" ht="16.5" thickBot="1" x14ac:dyDescent="0.3">
      <c r="A106" s="56" t="s">
        <v>16</v>
      </c>
      <c r="B106" s="36" t="s">
        <v>115</v>
      </c>
      <c r="C106" s="37"/>
      <c r="D106" s="38">
        <v>43737</v>
      </c>
      <c r="E106" s="13">
        <v>83182.8</v>
      </c>
      <c r="F106" s="39">
        <f t="shared" si="3"/>
        <v>15804.732</v>
      </c>
      <c r="G106" s="40">
        <v>99819.36</v>
      </c>
      <c r="I106" s="80"/>
      <c r="K106" s="33"/>
    </row>
    <row r="107" spans="1:11" ht="16.5" thickBot="1" x14ac:dyDescent="0.3">
      <c r="A107" s="55" t="s">
        <v>16</v>
      </c>
      <c r="B107" s="23" t="s">
        <v>116</v>
      </c>
      <c r="C107" s="8"/>
      <c r="D107" s="21">
        <v>43737</v>
      </c>
      <c r="E107" s="39">
        <v>83232.240000000005</v>
      </c>
      <c r="F107" s="13">
        <f t="shared" si="3"/>
        <v>15814.125600000001</v>
      </c>
      <c r="G107" s="15">
        <v>99878.69</v>
      </c>
      <c r="I107" s="80"/>
      <c r="K107" s="33"/>
    </row>
    <row r="108" spans="1:11" ht="16.5" thickBot="1" x14ac:dyDescent="0.3">
      <c r="A108" s="62" t="s">
        <v>16</v>
      </c>
      <c r="B108" s="63" t="s">
        <v>117</v>
      </c>
      <c r="C108" s="64"/>
      <c r="D108" s="76">
        <v>43738</v>
      </c>
      <c r="E108" s="13">
        <v>83256.960000000006</v>
      </c>
      <c r="F108" s="67">
        <f t="shared" si="3"/>
        <v>15818.822400000001</v>
      </c>
      <c r="G108" s="68">
        <v>99908.35</v>
      </c>
      <c r="I108" s="80"/>
      <c r="K108" s="33"/>
    </row>
    <row r="109" spans="1:11" ht="18" customHeight="1" thickBot="1" x14ac:dyDescent="0.35">
      <c r="A109" s="99" t="s">
        <v>141</v>
      </c>
      <c r="B109" s="100"/>
      <c r="C109" s="100"/>
      <c r="D109" s="100"/>
      <c r="E109" s="101"/>
      <c r="F109" s="112">
        <f>G15+G16+G17+G18+G19+G20+G21+G22+G23+G24+G25+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</f>
        <v>9254135.0699999984</v>
      </c>
      <c r="G109" s="113"/>
      <c r="I109" s="122"/>
    </row>
    <row r="110" spans="1:11" ht="16.5" thickBot="1" x14ac:dyDescent="0.3">
      <c r="A110" s="55" t="s">
        <v>30</v>
      </c>
      <c r="B110" s="60" t="s">
        <v>119</v>
      </c>
      <c r="C110" s="48"/>
      <c r="D110" s="49">
        <v>43738</v>
      </c>
      <c r="E110" s="42">
        <v>83281.679999999993</v>
      </c>
      <c r="F110" s="47">
        <f t="shared" ref="F110:F131" si="4">E110*0.19</f>
        <v>15823.519199999999</v>
      </c>
      <c r="G110" s="60">
        <v>99938.02</v>
      </c>
      <c r="I110" s="80"/>
      <c r="K110" s="33"/>
    </row>
    <row r="111" spans="1:11" ht="16.5" thickBot="1" x14ac:dyDescent="0.3">
      <c r="A111" s="56" t="s">
        <v>30</v>
      </c>
      <c r="B111" s="61" t="s">
        <v>120</v>
      </c>
      <c r="C111" s="50"/>
      <c r="D111" s="51">
        <v>43738</v>
      </c>
      <c r="E111" s="13">
        <v>83294.039999999994</v>
      </c>
      <c r="F111" s="52">
        <f t="shared" si="4"/>
        <v>15825.8676</v>
      </c>
      <c r="G111" s="61">
        <v>99952.85</v>
      </c>
      <c r="I111" s="80"/>
      <c r="K111" s="33"/>
    </row>
    <row r="112" spans="1:11" ht="16.5" thickBot="1" x14ac:dyDescent="0.3">
      <c r="A112" s="55" t="s">
        <v>31</v>
      </c>
      <c r="B112" s="60" t="s">
        <v>121</v>
      </c>
      <c r="C112" s="48"/>
      <c r="D112" s="49">
        <v>43738</v>
      </c>
      <c r="E112" s="39">
        <v>81878.850000000006</v>
      </c>
      <c r="F112" s="47">
        <f t="shared" si="4"/>
        <v>15556.981500000002</v>
      </c>
      <c r="G112" s="60">
        <v>98254.62</v>
      </c>
      <c r="I112" s="80"/>
      <c r="K112" s="33"/>
    </row>
    <row r="113" spans="1:11" ht="16.5" thickBot="1" x14ac:dyDescent="0.3">
      <c r="A113" s="56" t="s">
        <v>31</v>
      </c>
      <c r="B113" s="61" t="s">
        <v>122</v>
      </c>
      <c r="C113" s="50"/>
      <c r="D113" s="51">
        <v>43741</v>
      </c>
      <c r="E113" s="13">
        <v>83093.850000000006</v>
      </c>
      <c r="F113" s="52">
        <f t="shared" si="4"/>
        <v>15787.831500000002</v>
      </c>
      <c r="G113" s="61">
        <v>99712.62</v>
      </c>
      <c r="I113" s="80"/>
      <c r="K113" s="33"/>
    </row>
    <row r="114" spans="1:11" ht="16.5" thickBot="1" x14ac:dyDescent="0.3">
      <c r="A114" s="55" t="s">
        <v>31</v>
      </c>
      <c r="B114" s="60" t="s">
        <v>123</v>
      </c>
      <c r="C114" s="48"/>
      <c r="D114" s="49">
        <v>43741</v>
      </c>
      <c r="E114" s="39">
        <v>83081.7</v>
      </c>
      <c r="F114" s="47">
        <f t="shared" si="4"/>
        <v>15785.522999999999</v>
      </c>
      <c r="G114" s="60">
        <v>99698.04</v>
      </c>
      <c r="I114" s="80"/>
      <c r="K114" s="33"/>
    </row>
    <row r="115" spans="1:11" ht="16.5" thickBot="1" x14ac:dyDescent="0.3">
      <c r="A115" s="56" t="s">
        <v>31</v>
      </c>
      <c r="B115" s="61" t="s">
        <v>124</v>
      </c>
      <c r="C115" s="50"/>
      <c r="D115" s="51">
        <v>43741</v>
      </c>
      <c r="E115" s="13">
        <v>83008.800000000003</v>
      </c>
      <c r="F115" s="52">
        <f t="shared" si="4"/>
        <v>15771.672</v>
      </c>
      <c r="G115" s="61">
        <v>99610.559999999998</v>
      </c>
      <c r="I115" s="80"/>
      <c r="K115" s="33"/>
    </row>
    <row r="116" spans="1:11" ht="16.5" thickBot="1" x14ac:dyDescent="0.3">
      <c r="A116" s="55" t="s">
        <v>31</v>
      </c>
      <c r="B116" s="60" t="s">
        <v>125</v>
      </c>
      <c r="C116" s="48"/>
      <c r="D116" s="49">
        <v>43741</v>
      </c>
      <c r="E116" s="39">
        <v>82887.3</v>
      </c>
      <c r="F116" s="47">
        <f t="shared" si="4"/>
        <v>15748.587000000001</v>
      </c>
      <c r="G116" s="60">
        <v>99464.76</v>
      </c>
      <c r="I116" s="80"/>
      <c r="K116" s="33"/>
    </row>
    <row r="117" spans="1:11" ht="16.5" thickBot="1" x14ac:dyDescent="0.3">
      <c r="A117" s="56" t="s">
        <v>31</v>
      </c>
      <c r="B117" s="61" t="s">
        <v>126</v>
      </c>
      <c r="C117" s="50"/>
      <c r="D117" s="51">
        <v>43744</v>
      </c>
      <c r="E117" s="13">
        <v>83008.800000000003</v>
      </c>
      <c r="F117" s="52">
        <f t="shared" si="4"/>
        <v>15771.672</v>
      </c>
      <c r="G117" s="61">
        <v>99610.559999999998</v>
      </c>
      <c r="I117" s="80"/>
      <c r="K117" s="33"/>
    </row>
    <row r="118" spans="1:11" ht="16.5" thickBot="1" x14ac:dyDescent="0.3">
      <c r="A118" s="55" t="s">
        <v>31</v>
      </c>
      <c r="B118" s="60" t="s">
        <v>127</v>
      </c>
      <c r="C118" s="48"/>
      <c r="D118" s="49">
        <v>43744</v>
      </c>
      <c r="E118" s="39">
        <v>83130.3</v>
      </c>
      <c r="F118" s="47">
        <f t="shared" si="4"/>
        <v>15794.757000000001</v>
      </c>
      <c r="G118" s="60">
        <v>99756.36</v>
      </c>
      <c r="I118" s="80"/>
      <c r="K118" s="33"/>
    </row>
    <row r="119" spans="1:11" ht="16.5" thickBot="1" x14ac:dyDescent="0.3">
      <c r="A119" s="56" t="s">
        <v>31</v>
      </c>
      <c r="B119" s="61" t="s">
        <v>128</v>
      </c>
      <c r="C119" s="50"/>
      <c r="D119" s="51">
        <v>43744</v>
      </c>
      <c r="E119" s="13">
        <v>83263.95</v>
      </c>
      <c r="F119" s="52">
        <f t="shared" si="4"/>
        <v>15820.1505</v>
      </c>
      <c r="G119" s="61">
        <v>99916.74</v>
      </c>
      <c r="I119" s="80"/>
      <c r="K119" s="33"/>
    </row>
    <row r="120" spans="1:11" ht="16.5" thickBot="1" x14ac:dyDescent="0.3">
      <c r="A120" s="55" t="s">
        <v>31</v>
      </c>
      <c r="B120" s="60" t="s">
        <v>129</v>
      </c>
      <c r="C120" s="48"/>
      <c r="D120" s="49">
        <v>43744</v>
      </c>
      <c r="E120" s="39">
        <v>83288.25</v>
      </c>
      <c r="F120" s="47">
        <f t="shared" si="4"/>
        <v>15824.7675</v>
      </c>
      <c r="G120" s="15">
        <v>99945.9</v>
      </c>
      <c r="I120" s="80"/>
      <c r="K120" s="33"/>
    </row>
    <row r="121" spans="1:11" ht="16.5" thickBot="1" x14ac:dyDescent="0.3">
      <c r="A121" s="56" t="s">
        <v>31</v>
      </c>
      <c r="B121" s="61" t="s">
        <v>130</v>
      </c>
      <c r="C121" s="50"/>
      <c r="D121" s="51">
        <v>43746</v>
      </c>
      <c r="E121" s="13">
        <v>83312.55</v>
      </c>
      <c r="F121" s="52">
        <f t="shared" si="4"/>
        <v>15829.3845</v>
      </c>
      <c r="G121" s="40">
        <v>99975.06</v>
      </c>
      <c r="I121" s="80"/>
      <c r="K121" s="33"/>
    </row>
    <row r="122" spans="1:11" ht="16.5" thickBot="1" x14ac:dyDescent="0.3">
      <c r="A122" s="55" t="s">
        <v>16</v>
      </c>
      <c r="B122" s="60" t="s">
        <v>131</v>
      </c>
      <c r="C122" s="48"/>
      <c r="D122" s="49">
        <v>43746</v>
      </c>
      <c r="E122" s="39">
        <v>80080</v>
      </c>
      <c r="F122" s="47">
        <f t="shared" si="4"/>
        <v>15215.2</v>
      </c>
      <c r="G122" s="15">
        <v>96096</v>
      </c>
      <c r="I122" s="80"/>
      <c r="K122" s="33"/>
    </row>
    <row r="123" spans="1:11" ht="16.5" thickBot="1" x14ac:dyDescent="0.3">
      <c r="A123" s="56" t="s">
        <v>16</v>
      </c>
      <c r="B123" s="61" t="s">
        <v>132</v>
      </c>
      <c r="C123" s="50"/>
      <c r="D123" s="51">
        <v>43746</v>
      </c>
      <c r="E123" s="13">
        <v>80911.600000000006</v>
      </c>
      <c r="F123" s="52">
        <f t="shared" si="4"/>
        <v>15373.204000000002</v>
      </c>
      <c r="G123" s="40">
        <v>97093.92</v>
      </c>
      <c r="I123" s="80"/>
      <c r="K123" s="33"/>
    </row>
    <row r="124" spans="1:11" ht="16.5" thickBot="1" x14ac:dyDescent="0.3">
      <c r="A124" s="55" t="s">
        <v>16</v>
      </c>
      <c r="B124" s="60" t="s">
        <v>133</v>
      </c>
      <c r="C124" s="48"/>
      <c r="D124" s="49">
        <v>43748</v>
      </c>
      <c r="E124" s="39">
        <v>81004</v>
      </c>
      <c r="F124" s="47">
        <f t="shared" si="4"/>
        <v>15390.76</v>
      </c>
      <c r="G124" s="15">
        <v>97204.800000000003</v>
      </c>
      <c r="I124" s="80"/>
      <c r="K124" s="33"/>
    </row>
    <row r="125" spans="1:11" ht="16.5" thickBot="1" x14ac:dyDescent="0.3">
      <c r="A125" s="56" t="s">
        <v>16</v>
      </c>
      <c r="B125" s="61" t="s">
        <v>134</v>
      </c>
      <c r="C125" s="50"/>
      <c r="D125" s="51">
        <v>43748</v>
      </c>
      <c r="E125" s="13">
        <v>81096.399999999994</v>
      </c>
      <c r="F125" s="52">
        <f t="shared" si="4"/>
        <v>15408.315999999999</v>
      </c>
      <c r="G125" s="40">
        <v>97315.68</v>
      </c>
      <c r="I125" s="80"/>
      <c r="K125" s="33"/>
    </row>
    <row r="126" spans="1:11" ht="16.5" thickBot="1" x14ac:dyDescent="0.3">
      <c r="A126" s="55" t="s">
        <v>16</v>
      </c>
      <c r="B126" s="60" t="s">
        <v>135</v>
      </c>
      <c r="C126" s="48"/>
      <c r="D126" s="49">
        <v>43748</v>
      </c>
      <c r="E126" s="39">
        <v>81188.800000000003</v>
      </c>
      <c r="F126" s="47">
        <f t="shared" si="4"/>
        <v>15425.872000000001</v>
      </c>
      <c r="G126" s="15">
        <v>97426.559999999998</v>
      </c>
      <c r="I126" s="80"/>
      <c r="K126" s="33"/>
    </row>
    <row r="127" spans="1:11" ht="16.5" thickBot="1" x14ac:dyDescent="0.3">
      <c r="A127" s="56" t="s">
        <v>16</v>
      </c>
      <c r="B127" s="61" t="s">
        <v>136</v>
      </c>
      <c r="C127" s="50"/>
      <c r="D127" s="51">
        <v>43748</v>
      </c>
      <c r="E127" s="13">
        <v>81358.2</v>
      </c>
      <c r="F127" s="52">
        <f t="shared" si="4"/>
        <v>15458.057999999999</v>
      </c>
      <c r="G127" s="40">
        <v>97629.84</v>
      </c>
      <c r="I127" s="80"/>
      <c r="K127" s="33"/>
    </row>
    <row r="128" spans="1:11" ht="16.5" thickBot="1" x14ac:dyDescent="0.3">
      <c r="A128" s="55" t="s">
        <v>16</v>
      </c>
      <c r="B128" s="60" t="s">
        <v>137</v>
      </c>
      <c r="C128" s="48"/>
      <c r="D128" s="49">
        <v>43751</v>
      </c>
      <c r="E128" s="39">
        <v>81496.800000000003</v>
      </c>
      <c r="F128" s="47">
        <f t="shared" si="4"/>
        <v>15484.392</v>
      </c>
      <c r="G128" s="15">
        <v>97796.160000000003</v>
      </c>
      <c r="I128" s="80"/>
      <c r="K128" s="33"/>
    </row>
    <row r="129" spans="1:11" ht="16.5" thickBot="1" x14ac:dyDescent="0.3">
      <c r="A129" s="56" t="s">
        <v>16</v>
      </c>
      <c r="B129" s="61" t="s">
        <v>138</v>
      </c>
      <c r="C129" s="50"/>
      <c r="D129" s="51">
        <v>43751</v>
      </c>
      <c r="E129" s="13">
        <v>81589.2</v>
      </c>
      <c r="F129" s="52">
        <f t="shared" si="4"/>
        <v>15501.948</v>
      </c>
      <c r="G129" s="40">
        <v>97907.04</v>
      </c>
      <c r="I129" s="80"/>
      <c r="K129" s="33"/>
    </row>
    <row r="130" spans="1:11" ht="16.5" thickBot="1" x14ac:dyDescent="0.3">
      <c r="A130" s="55" t="s">
        <v>16</v>
      </c>
      <c r="B130" s="60" t="s">
        <v>139</v>
      </c>
      <c r="C130" s="48"/>
      <c r="D130" s="49">
        <v>43751</v>
      </c>
      <c r="E130" s="13">
        <v>83129.2</v>
      </c>
      <c r="F130" s="47">
        <f t="shared" si="4"/>
        <v>15794.547999999999</v>
      </c>
      <c r="G130" s="15">
        <v>99755.04</v>
      </c>
      <c r="I130" s="80"/>
      <c r="K130" s="33"/>
    </row>
    <row r="131" spans="1:11" ht="16.5" thickBot="1" x14ac:dyDescent="0.3">
      <c r="A131" s="28" t="s">
        <v>16</v>
      </c>
      <c r="B131" s="30" t="s">
        <v>140</v>
      </c>
      <c r="C131" s="31"/>
      <c r="D131" s="32">
        <v>43751</v>
      </c>
      <c r="E131" s="67">
        <v>83160</v>
      </c>
      <c r="F131" s="34">
        <f t="shared" si="4"/>
        <v>15800.4</v>
      </c>
      <c r="G131" s="16">
        <v>99792</v>
      </c>
      <c r="I131" s="80"/>
      <c r="K131" s="33"/>
    </row>
    <row r="132" spans="1:11" ht="16.5" thickBot="1" x14ac:dyDescent="0.3">
      <c r="A132" s="53" t="s">
        <v>16</v>
      </c>
      <c r="B132" s="41" t="s">
        <v>148</v>
      </c>
      <c r="C132" s="54"/>
      <c r="D132" s="123">
        <v>43754</v>
      </c>
      <c r="E132" s="42">
        <f t="shared" ref="E132:E164" si="5">(G132-I132)/1.19</f>
        <v>83858.823529411762</v>
      </c>
      <c r="F132" s="126">
        <f t="shared" ref="F132:F145" si="6">E132*0.19</f>
        <v>15933.176470588234</v>
      </c>
      <c r="G132" s="43">
        <v>99792</v>
      </c>
      <c r="I132" s="80"/>
      <c r="K132" s="33"/>
    </row>
    <row r="133" spans="1:11" ht="16.5" thickBot="1" x14ac:dyDescent="0.3">
      <c r="A133" s="55" t="s">
        <v>16</v>
      </c>
      <c r="B133" s="23" t="s">
        <v>142</v>
      </c>
      <c r="C133" s="8"/>
      <c r="D133" s="21">
        <v>43754</v>
      </c>
      <c r="E133" s="13">
        <f t="shared" si="5"/>
        <v>80752.941176470587</v>
      </c>
      <c r="F133" s="81">
        <f t="shared" si="6"/>
        <v>15343.058823529413</v>
      </c>
      <c r="G133" s="15">
        <v>96096</v>
      </c>
      <c r="I133" s="80"/>
      <c r="K133" s="33"/>
    </row>
    <row r="134" spans="1:11" ht="16.5" thickBot="1" x14ac:dyDescent="0.3">
      <c r="A134" s="56" t="s">
        <v>16</v>
      </c>
      <c r="B134" s="36" t="s">
        <v>143</v>
      </c>
      <c r="C134" s="37"/>
      <c r="D134" s="38">
        <v>43754</v>
      </c>
      <c r="E134" s="39">
        <f t="shared" si="5"/>
        <v>79200</v>
      </c>
      <c r="F134" s="83">
        <f t="shared" si="6"/>
        <v>15048</v>
      </c>
      <c r="G134" s="40">
        <v>94248</v>
      </c>
      <c r="I134" s="80"/>
      <c r="K134" s="33"/>
    </row>
    <row r="135" spans="1:11" ht="16.5" thickBot="1" x14ac:dyDescent="0.3">
      <c r="A135" s="55" t="s">
        <v>16</v>
      </c>
      <c r="B135" s="23" t="s">
        <v>144</v>
      </c>
      <c r="C135" s="8"/>
      <c r="D135" s="21">
        <v>43754</v>
      </c>
      <c r="E135" s="13">
        <f t="shared" si="5"/>
        <v>83455.058823529413</v>
      </c>
      <c r="F135" s="81">
        <f t="shared" si="6"/>
        <v>15856.461176470588</v>
      </c>
      <c r="G135" s="15">
        <v>99311.52</v>
      </c>
      <c r="I135" s="80"/>
      <c r="K135" s="33"/>
    </row>
    <row r="136" spans="1:11" ht="16.5" thickBot="1" x14ac:dyDescent="0.3">
      <c r="A136" s="56" t="s">
        <v>16</v>
      </c>
      <c r="B136" s="36" t="s">
        <v>145</v>
      </c>
      <c r="C136" s="37"/>
      <c r="D136" s="38">
        <v>43755</v>
      </c>
      <c r="E136" s="39">
        <f t="shared" si="5"/>
        <v>82041.882352941175</v>
      </c>
      <c r="F136" s="83">
        <f t="shared" si="6"/>
        <v>15587.957647058824</v>
      </c>
      <c r="G136" s="40">
        <v>97629.84</v>
      </c>
      <c r="I136" s="80"/>
      <c r="K136" s="33"/>
    </row>
    <row r="137" spans="1:11" ht="16.5" thickBot="1" x14ac:dyDescent="0.3">
      <c r="A137" s="57" t="s">
        <v>30</v>
      </c>
      <c r="B137" s="23" t="s">
        <v>146</v>
      </c>
      <c r="C137" s="8"/>
      <c r="D137" s="21">
        <v>43755</v>
      </c>
      <c r="E137" s="13">
        <f t="shared" si="5"/>
        <v>82735.14285714287</v>
      </c>
      <c r="F137" s="81">
        <f t="shared" si="6"/>
        <v>15719.677142857145</v>
      </c>
      <c r="G137" s="15">
        <v>98454.82</v>
      </c>
      <c r="I137" s="80"/>
      <c r="K137" s="33"/>
    </row>
    <row r="138" spans="1:11" ht="16.5" thickBot="1" x14ac:dyDescent="0.3">
      <c r="A138" s="35" t="s">
        <v>30</v>
      </c>
      <c r="B138" s="36" t="s">
        <v>147</v>
      </c>
      <c r="C138" s="37"/>
      <c r="D138" s="38">
        <v>43755</v>
      </c>
      <c r="E138" s="39">
        <f t="shared" si="5"/>
        <v>81015.126050420178</v>
      </c>
      <c r="F138" s="83">
        <f t="shared" si="6"/>
        <v>15392.873949579835</v>
      </c>
      <c r="G138" s="40">
        <v>96408</v>
      </c>
      <c r="I138" s="80"/>
      <c r="K138" s="33"/>
    </row>
    <row r="139" spans="1:11" ht="16.5" thickBot="1" x14ac:dyDescent="0.3">
      <c r="A139" s="20" t="s">
        <v>30</v>
      </c>
      <c r="B139" s="23" t="s">
        <v>149</v>
      </c>
      <c r="C139" s="8"/>
      <c r="D139" s="21">
        <v>43758</v>
      </c>
      <c r="E139" s="13">
        <f t="shared" si="5"/>
        <v>81314.26050420168</v>
      </c>
      <c r="F139" s="81">
        <f t="shared" si="6"/>
        <v>15449.709495798319</v>
      </c>
      <c r="G139" s="15">
        <v>96763.97</v>
      </c>
      <c r="I139" s="80"/>
      <c r="K139" s="33"/>
    </row>
    <row r="140" spans="1:11" ht="16.5" thickBot="1" x14ac:dyDescent="0.3">
      <c r="A140" s="35" t="s">
        <v>31</v>
      </c>
      <c r="B140" s="36" t="s">
        <v>150</v>
      </c>
      <c r="C140" s="37"/>
      <c r="D140" s="38">
        <v>43758</v>
      </c>
      <c r="E140" s="39">
        <f t="shared" si="5"/>
        <v>83314.285714285725</v>
      </c>
      <c r="F140" s="83">
        <f t="shared" si="6"/>
        <v>15829.714285714288</v>
      </c>
      <c r="G140" s="40">
        <v>99144</v>
      </c>
      <c r="I140" s="80"/>
      <c r="K140" s="33"/>
    </row>
    <row r="141" spans="1:11" ht="16.5" thickBot="1" x14ac:dyDescent="0.3">
      <c r="A141" s="20" t="s">
        <v>31</v>
      </c>
      <c r="B141" s="23" t="s">
        <v>151</v>
      </c>
      <c r="C141" s="8"/>
      <c r="D141" s="21">
        <v>43758</v>
      </c>
      <c r="E141" s="13">
        <f t="shared" si="5"/>
        <v>81121.159663865546</v>
      </c>
      <c r="F141" s="81">
        <f t="shared" si="6"/>
        <v>15413.020336134454</v>
      </c>
      <c r="G141" s="15">
        <v>96534.18</v>
      </c>
      <c r="I141" s="80"/>
      <c r="K141" s="33"/>
    </row>
    <row r="142" spans="1:11" ht="16.5" thickBot="1" x14ac:dyDescent="0.3">
      <c r="A142" s="20" t="s">
        <v>32</v>
      </c>
      <c r="B142" s="23" t="s">
        <v>152</v>
      </c>
      <c r="C142" s="8"/>
      <c r="D142" s="21">
        <v>43760</v>
      </c>
      <c r="E142" s="13">
        <f t="shared" si="5"/>
        <v>79369.109243697487</v>
      </c>
      <c r="F142" s="81">
        <f t="shared" si="6"/>
        <v>15080.130756302522</v>
      </c>
      <c r="G142" s="15">
        <v>94449.24</v>
      </c>
      <c r="I142" s="80"/>
      <c r="K142" s="33"/>
    </row>
    <row r="143" spans="1:11" ht="16.5" thickBot="1" x14ac:dyDescent="0.3">
      <c r="A143" s="35" t="s">
        <v>31</v>
      </c>
      <c r="B143" s="36" t="s">
        <v>153</v>
      </c>
      <c r="C143" s="37"/>
      <c r="D143" s="38">
        <v>43760</v>
      </c>
      <c r="E143" s="39">
        <f t="shared" si="5"/>
        <v>81648</v>
      </c>
      <c r="F143" s="83">
        <f t="shared" si="6"/>
        <v>15513.12</v>
      </c>
      <c r="G143" s="40">
        <v>97161.12</v>
      </c>
      <c r="I143" s="80"/>
      <c r="K143" s="33"/>
    </row>
    <row r="144" spans="1:11" ht="16.5" thickBot="1" x14ac:dyDescent="0.3">
      <c r="A144" s="20" t="s">
        <v>31</v>
      </c>
      <c r="B144" s="23" t="s">
        <v>154</v>
      </c>
      <c r="C144" s="8"/>
      <c r="D144" s="21">
        <v>43760</v>
      </c>
      <c r="E144" s="13">
        <f t="shared" si="5"/>
        <v>82370.873949579836</v>
      </c>
      <c r="F144" s="81">
        <f t="shared" si="6"/>
        <v>15650.466050420169</v>
      </c>
      <c r="G144" s="15">
        <v>98021.34</v>
      </c>
      <c r="I144" s="80"/>
      <c r="K144" s="33"/>
    </row>
    <row r="145" spans="1:11" ht="16.5" thickBot="1" x14ac:dyDescent="0.3">
      <c r="A145" s="35" t="s">
        <v>30</v>
      </c>
      <c r="B145" s="36" t="s">
        <v>155</v>
      </c>
      <c r="C145" s="37"/>
      <c r="D145" s="38">
        <v>43762</v>
      </c>
      <c r="E145" s="39">
        <f t="shared" si="5"/>
        <v>83607.613445378156</v>
      </c>
      <c r="F145" s="83">
        <f t="shared" si="6"/>
        <v>15885.446554621851</v>
      </c>
      <c r="G145" s="40">
        <v>99493.06</v>
      </c>
      <c r="I145" s="80"/>
      <c r="K145" s="33"/>
    </row>
    <row r="146" spans="1:11" ht="16.5" thickBot="1" x14ac:dyDescent="0.3">
      <c r="A146" s="20" t="s">
        <v>30</v>
      </c>
      <c r="B146" s="23" t="s">
        <v>156</v>
      </c>
      <c r="C146" s="8"/>
      <c r="D146" s="21">
        <v>43762</v>
      </c>
      <c r="E146" s="13">
        <f t="shared" si="5"/>
        <v>83183.840336134468</v>
      </c>
      <c r="F146" s="81">
        <f t="shared" ref="F146:F187" si="7">E146*0.19</f>
        <v>15804.929663865549</v>
      </c>
      <c r="G146" s="15">
        <v>98988.77</v>
      </c>
      <c r="I146" s="80"/>
      <c r="K146" s="33"/>
    </row>
    <row r="147" spans="1:11" ht="16.5" thickBot="1" x14ac:dyDescent="0.3">
      <c r="A147" s="20" t="s">
        <v>16</v>
      </c>
      <c r="B147" s="23" t="s">
        <v>157</v>
      </c>
      <c r="C147" s="8"/>
      <c r="D147" s="21">
        <v>43762</v>
      </c>
      <c r="E147" s="13">
        <f t="shared" si="5"/>
        <v>82492.23529411765</v>
      </c>
      <c r="F147" s="81">
        <f t="shared" si="7"/>
        <v>15673.524705882353</v>
      </c>
      <c r="G147" s="15">
        <v>98165.759999999995</v>
      </c>
      <c r="I147" s="80"/>
    </row>
    <row r="148" spans="1:11" ht="16.5" thickBot="1" x14ac:dyDescent="0.3">
      <c r="A148" s="20" t="s">
        <v>16</v>
      </c>
      <c r="B148" s="23" t="s">
        <v>158</v>
      </c>
      <c r="C148" s="8"/>
      <c r="D148" s="21">
        <v>43765</v>
      </c>
      <c r="E148" s="13">
        <f t="shared" si="5"/>
        <v>82274.823529411762</v>
      </c>
      <c r="F148" s="81">
        <f t="shared" si="7"/>
        <v>15632.216470588235</v>
      </c>
      <c r="G148" s="15">
        <v>97907.04</v>
      </c>
      <c r="I148" s="80"/>
    </row>
    <row r="149" spans="1:11" ht="16.5" thickBot="1" x14ac:dyDescent="0.3">
      <c r="A149" s="20" t="s">
        <v>16</v>
      </c>
      <c r="B149" s="23" t="s">
        <v>159</v>
      </c>
      <c r="C149" s="8"/>
      <c r="D149" s="21">
        <v>43765</v>
      </c>
      <c r="E149" s="13">
        <f t="shared" si="5"/>
        <v>83858.823529411762</v>
      </c>
      <c r="F149" s="81">
        <f t="shared" si="7"/>
        <v>15933.176470588234</v>
      </c>
      <c r="G149" s="15">
        <v>99792</v>
      </c>
      <c r="I149" s="80"/>
    </row>
    <row r="150" spans="1:11" ht="16.5" thickBot="1" x14ac:dyDescent="0.3">
      <c r="A150" s="75" t="s">
        <v>16</v>
      </c>
      <c r="B150" s="63" t="s">
        <v>160</v>
      </c>
      <c r="C150" s="64"/>
      <c r="D150" s="124">
        <v>43765</v>
      </c>
      <c r="E150" s="67">
        <f t="shared" si="5"/>
        <v>83889.882352941189</v>
      </c>
      <c r="F150" s="82">
        <f t="shared" si="7"/>
        <v>15939.077647058826</v>
      </c>
      <c r="G150" s="68">
        <v>99828.96</v>
      </c>
      <c r="I150" s="80"/>
    </row>
    <row r="151" spans="1:11" ht="16.5" thickBot="1" x14ac:dyDescent="0.3">
      <c r="A151" s="20" t="s">
        <v>31</v>
      </c>
      <c r="B151" s="23" t="s">
        <v>161</v>
      </c>
      <c r="C151" s="8"/>
      <c r="D151" s="21">
        <v>43768</v>
      </c>
      <c r="E151" s="13">
        <f t="shared" si="5"/>
        <v>83314.285714285725</v>
      </c>
      <c r="F151" s="81">
        <f t="shared" si="7"/>
        <v>15829.714285714288</v>
      </c>
      <c r="G151" s="15">
        <v>99144</v>
      </c>
      <c r="I151" s="80"/>
    </row>
    <row r="152" spans="1:11" ht="16.5" thickBot="1" x14ac:dyDescent="0.3">
      <c r="A152" s="44" t="s">
        <v>31</v>
      </c>
      <c r="B152" s="45" t="s">
        <v>162</v>
      </c>
      <c r="C152" s="46"/>
      <c r="D152" s="21">
        <v>43768</v>
      </c>
      <c r="E152" s="13">
        <f t="shared" si="5"/>
        <v>83106</v>
      </c>
      <c r="F152" s="47">
        <f t="shared" si="7"/>
        <v>15790.14</v>
      </c>
      <c r="G152" s="15">
        <v>98896.14</v>
      </c>
      <c r="I152" s="80"/>
    </row>
    <row r="153" spans="1:11" ht="16.5" thickBot="1" x14ac:dyDescent="0.3">
      <c r="A153" s="20" t="s">
        <v>31</v>
      </c>
      <c r="B153" s="23" t="s">
        <v>163</v>
      </c>
      <c r="C153" s="8"/>
      <c r="D153" s="21">
        <v>43769</v>
      </c>
      <c r="E153" s="13">
        <f t="shared" si="5"/>
        <v>83926.890756302528</v>
      </c>
      <c r="F153" s="81">
        <f t="shared" si="7"/>
        <v>15946.109243697481</v>
      </c>
      <c r="G153" s="15">
        <v>99873</v>
      </c>
      <c r="I153" s="80"/>
    </row>
    <row r="154" spans="1:11" ht="16.5" thickBot="1" x14ac:dyDescent="0.3">
      <c r="A154" s="35" t="s">
        <v>31</v>
      </c>
      <c r="B154" s="36" t="s">
        <v>164</v>
      </c>
      <c r="C154" s="37"/>
      <c r="D154" s="38">
        <v>43769</v>
      </c>
      <c r="E154" s="39">
        <f t="shared" si="5"/>
        <v>83461.310924369755</v>
      </c>
      <c r="F154" s="83">
        <f t="shared" si="7"/>
        <v>15857.649075630254</v>
      </c>
      <c r="G154" s="40">
        <v>99318.96</v>
      </c>
      <c r="I154" s="80"/>
    </row>
    <row r="155" spans="1:11" ht="16.5" thickBot="1" x14ac:dyDescent="0.3">
      <c r="A155" s="20" t="s">
        <v>31</v>
      </c>
      <c r="B155" s="23" t="s">
        <v>165</v>
      </c>
      <c r="C155" s="8"/>
      <c r="D155" s="21">
        <v>43769</v>
      </c>
      <c r="E155" s="13">
        <f t="shared" si="5"/>
        <v>83424.554621848743</v>
      </c>
      <c r="F155" s="81">
        <f t="shared" si="7"/>
        <v>15850.665378151261</v>
      </c>
      <c r="G155" s="15">
        <v>99275.22</v>
      </c>
      <c r="I155" s="80"/>
    </row>
    <row r="156" spans="1:11" ht="16.5" thickBot="1" x14ac:dyDescent="0.3">
      <c r="A156" s="35" t="s">
        <v>31</v>
      </c>
      <c r="B156" s="36" t="s">
        <v>166</v>
      </c>
      <c r="C156" s="37"/>
      <c r="D156" s="38">
        <v>43772</v>
      </c>
      <c r="E156" s="39">
        <f t="shared" si="5"/>
        <v>83338.789915966394</v>
      </c>
      <c r="F156" s="83">
        <f t="shared" si="7"/>
        <v>15834.370084033615</v>
      </c>
      <c r="G156" s="40">
        <v>99173.16</v>
      </c>
      <c r="I156" s="80"/>
    </row>
    <row r="157" spans="1:11" ht="16.5" thickBot="1" x14ac:dyDescent="0.3">
      <c r="A157" s="20" t="s">
        <v>31</v>
      </c>
      <c r="B157" s="23" t="s">
        <v>167</v>
      </c>
      <c r="C157" s="8"/>
      <c r="D157" s="21">
        <v>43772</v>
      </c>
      <c r="E157" s="13">
        <f t="shared" si="5"/>
        <v>83326.537815126052</v>
      </c>
      <c r="F157" s="81">
        <f t="shared" si="7"/>
        <v>15832.04218487395</v>
      </c>
      <c r="G157" s="15">
        <v>99158.58</v>
      </c>
      <c r="I157" s="80"/>
    </row>
    <row r="158" spans="1:11" ht="16.5" thickBot="1" x14ac:dyDescent="0.3">
      <c r="A158" s="20" t="s">
        <v>31</v>
      </c>
      <c r="B158" s="23" t="s">
        <v>168</v>
      </c>
      <c r="C158" s="8"/>
      <c r="D158" s="21">
        <v>43772</v>
      </c>
      <c r="E158" s="13">
        <f t="shared" si="5"/>
        <v>83081.495798319331</v>
      </c>
      <c r="F158" s="81">
        <f t="shared" si="7"/>
        <v>15785.484201680672</v>
      </c>
      <c r="G158" s="15">
        <v>98866.98</v>
      </c>
      <c r="I158" s="80"/>
    </row>
    <row r="159" spans="1:11" ht="16.5" thickBot="1" x14ac:dyDescent="0.3">
      <c r="A159" s="35" t="s">
        <v>31</v>
      </c>
      <c r="B159" s="36" t="s">
        <v>169</v>
      </c>
      <c r="C159" s="37"/>
      <c r="D159" s="38">
        <v>43775</v>
      </c>
      <c r="E159" s="39">
        <f t="shared" si="5"/>
        <v>80631.075630252104</v>
      </c>
      <c r="F159" s="83">
        <f t="shared" si="7"/>
        <v>15319.904369747899</v>
      </c>
      <c r="G159" s="40">
        <v>95950.98</v>
      </c>
      <c r="I159" s="80"/>
    </row>
    <row r="160" spans="1:11" ht="16.5" thickBot="1" x14ac:dyDescent="0.3">
      <c r="A160" s="20" t="s">
        <v>31</v>
      </c>
      <c r="B160" s="23" t="s">
        <v>170</v>
      </c>
      <c r="C160" s="8"/>
      <c r="D160" s="21">
        <v>43775</v>
      </c>
      <c r="E160" s="13">
        <f t="shared" si="5"/>
        <v>81243.680672268907</v>
      </c>
      <c r="F160" s="81">
        <f t="shared" si="7"/>
        <v>15436.299327731092</v>
      </c>
      <c r="G160" s="15">
        <v>96679.98</v>
      </c>
      <c r="I160" s="80"/>
    </row>
    <row r="161" spans="1:9" ht="16.5" thickBot="1" x14ac:dyDescent="0.3">
      <c r="A161" s="35" t="s">
        <v>30</v>
      </c>
      <c r="B161" s="36" t="s">
        <v>171</v>
      </c>
      <c r="C161" s="37"/>
      <c r="D161" s="38">
        <v>43775</v>
      </c>
      <c r="E161" s="39">
        <f t="shared" si="5"/>
        <v>82448.470588235286</v>
      </c>
      <c r="F161" s="83">
        <f t="shared" si="7"/>
        <v>15665.209411764705</v>
      </c>
      <c r="G161" s="40">
        <v>98113.68</v>
      </c>
      <c r="I161" s="80"/>
    </row>
    <row r="162" spans="1:9" ht="16.5" thickBot="1" x14ac:dyDescent="0.3">
      <c r="A162" s="20" t="s">
        <v>30</v>
      </c>
      <c r="B162" s="23" t="s">
        <v>172</v>
      </c>
      <c r="C162" s="8"/>
      <c r="D162" s="21">
        <v>43779</v>
      </c>
      <c r="E162" s="13">
        <f t="shared" si="5"/>
        <v>82498.327731092431</v>
      </c>
      <c r="F162" s="81">
        <f t="shared" si="7"/>
        <v>15674.682268907562</v>
      </c>
      <c r="G162" s="15">
        <v>98173.01</v>
      </c>
      <c r="I162" s="80"/>
    </row>
    <row r="163" spans="1:9" ht="16.5" thickBot="1" x14ac:dyDescent="0.3">
      <c r="A163" s="35" t="s">
        <v>30</v>
      </c>
      <c r="B163" s="36" t="s">
        <v>173</v>
      </c>
      <c r="C163" s="37"/>
      <c r="D163" s="38">
        <v>43779</v>
      </c>
      <c r="E163" s="39">
        <f t="shared" si="5"/>
        <v>82610.504201680669</v>
      </c>
      <c r="F163" s="83">
        <f t="shared" si="7"/>
        <v>15695.995798319327</v>
      </c>
      <c r="G163" s="40">
        <v>98306.5</v>
      </c>
      <c r="I163" s="80"/>
    </row>
    <row r="164" spans="1:9" ht="16.5" thickBot="1" x14ac:dyDescent="0.3">
      <c r="A164" s="20" t="s">
        <v>30</v>
      </c>
      <c r="B164" s="23" t="s">
        <v>174</v>
      </c>
      <c r="C164" s="8"/>
      <c r="D164" s="21">
        <v>43779</v>
      </c>
      <c r="E164" s="13">
        <f t="shared" si="5"/>
        <v>82722.672268907569</v>
      </c>
      <c r="F164" s="81">
        <f t="shared" si="7"/>
        <v>15717.307731092438</v>
      </c>
      <c r="G164" s="15">
        <v>98439.98</v>
      </c>
      <c r="I164" s="80"/>
    </row>
    <row r="165" spans="1:9" ht="16.5" thickBot="1" x14ac:dyDescent="0.3">
      <c r="A165" s="55" t="s">
        <v>16</v>
      </c>
      <c r="B165" s="23" t="s">
        <v>175</v>
      </c>
      <c r="C165" s="8"/>
      <c r="D165" s="21">
        <v>43781</v>
      </c>
      <c r="E165" s="13">
        <f t="shared" ref="E165:E187" si="8">(G165-I165)/1.19</f>
        <v>78609.882352941175</v>
      </c>
      <c r="F165" s="81">
        <f t="shared" si="7"/>
        <v>14935.877647058824</v>
      </c>
      <c r="G165" s="72">
        <v>93545.76</v>
      </c>
      <c r="I165" s="80"/>
    </row>
    <row r="166" spans="1:9" ht="16.5" thickBot="1" x14ac:dyDescent="0.3">
      <c r="A166" s="56" t="s">
        <v>16</v>
      </c>
      <c r="B166" s="36" t="s">
        <v>176</v>
      </c>
      <c r="C166" s="37"/>
      <c r="D166" s="38">
        <v>43781</v>
      </c>
      <c r="E166" s="39">
        <f t="shared" si="8"/>
        <v>83284.23529411765</v>
      </c>
      <c r="F166" s="83">
        <f t="shared" si="7"/>
        <v>15824.004705882353</v>
      </c>
      <c r="G166" s="73">
        <v>99108.24</v>
      </c>
      <c r="I166" s="80"/>
    </row>
    <row r="167" spans="1:9" ht="16.5" thickBot="1" x14ac:dyDescent="0.3">
      <c r="A167" s="55" t="s">
        <v>16</v>
      </c>
      <c r="B167" s="23" t="s">
        <v>177</v>
      </c>
      <c r="C167" s="8"/>
      <c r="D167" s="21">
        <v>43781</v>
      </c>
      <c r="E167" s="13">
        <f t="shared" si="8"/>
        <v>83439.529411764699</v>
      </c>
      <c r="F167" s="81">
        <f t="shared" si="7"/>
        <v>15853.510588235293</v>
      </c>
      <c r="G167" s="72">
        <v>99293.04</v>
      </c>
      <c r="I167" s="80"/>
    </row>
    <row r="168" spans="1:9" ht="16.5" thickBot="1" x14ac:dyDescent="0.3">
      <c r="A168" s="56" t="s">
        <v>16</v>
      </c>
      <c r="B168" s="36" t="s">
        <v>178</v>
      </c>
      <c r="C168" s="37"/>
      <c r="D168" s="38">
        <v>43783</v>
      </c>
      <c r="E168" s="39">
        <f t="shared" si="8"/>
        <v>83486.117647058825</v>
      </c>
      <c r="F168" s="83">
        <f t="shared" si="7"/>
        <v>15862.362352941176</v>
      </c>
      <c r="G168" s="73">
        <v>99348.479999999996</v>
      </c>
      <c r="I168" s="80"/>
    </row>
    <row r="169" spans="1:9" ht="16.5" thickBot="1" x14ac:dyDescent="0.3">
      <c r="A169" s="55" t="s">
        <v>16</v>
      </c>
      <c r="B169" s="23" t="s">
        <v>179</v>
      </c>
      <c r="C169" s="8"/>
      <c r="D169" s="21">
        <v>43783</v>
      </c>
      <c r="E169" s="13">
        <f t="shared" si="8"/>
        <v>83408.470588235301</v>
      </c>
      <c r="F169" s="81">
        <f t="shared" si="7"/>
        <v>15847.609411764708</v>
      </c>
      <c r="G169" s="72">
        <v>99256.08</v>
      </c>
      <c r="I169" s="80"/>
    </row>
    <row r="170" spans="1:9" ht="16.5" thickBot="1" x14ac:dyDescent="0.3">
      <c r="A170" s="56" t="s">
        <v>16</v>
      </c>
      <c r="B170" s="36" t="s">
        <v>180</v>
      </c>
      <c r="C170" s="37"/>
      <c r="D170" s="38">
        <v>43783</v>
      </c>
      <c r="E170" s="39">
        <f t="shared" si="8"/>
        <v>83361.882352941175</v>
      </c>
      <c r="F170" s="83">
        <f t="shared" si="7"/>
        <v>15838.757647058823</v>
      </c>
      <c r="G170" s="73">
        <v>99200.639999999999</v>
      </c>
      <c r="I170" s="80"/>
    </row>
    <row r="171" spans="1:9" ht="16.5" thickBot="1" x14ac:dyDescent="0.3">
      <c r="A171" s="55" t="s">
        <v>16</v>
      </c>
      <c r="B171" s="23" t="s">
        <v>181</v>
      </c>
      <c r="C171" s="8"/>
      <c r="D171" s="21">
        <v>43783</v>
      </c>
      <c r="E171" s="13">
        <f t="shared" si="8"/>
        <v>83222.11764705884</v>
      </c>
      <c r="F171" s="81">
        <f t="shared" si="7"/>
        <v>15812.20235294118</v>
      </c>
      <c r="G171" s="72">
        <v>99034.32</v>
      </c>
      <c r="I171" s="80"/>
    </row>
    <row r="172" spans="1:9" ht="16.5" thickBot="1" x14ac:dyDescent="0.3">
      <c r="A172" s="56" t="s">
        <v>16</v>
      </c>
      <c r="B172" s="36" t="s">
        <v>182</v>
      </c>
      <c r="C172" s="37"/>
      <c r="D172" s="38">
        <v>43786</v>
      </c>
      <c r="E172" s="39">
        <f t="shared" si="8"/>
        <v>82911.529411764714</v>
      </c>
      <c r="F172" s="83">
        <f t="shared" si="7"/>
        <v>15753.190588235297</v>
      </c>
      <c r="G172" s="73">
        <v>98664.72</v>
      </c>
      <c r="I172" s="80"/>
    </row>
    <row r="173" spans="1:9" ht="16.5" thickBot="1" x14ac:dyDescent="0.3">
      <c r="A173" s="55" t="s">
        <v>16</v>
      </c>
      <c r="B173" s="23" t="s">
        <v>183</v>
      </c>
      <c r="C173" s="8"/>
      <c r="D173" s="21">
        <v>43786</v>
      </c>
      <c r="E173" s="13">
        <f t="shared" si="8"/>
        <v>82756.23529411765</v>
      </c>
      <c r="F173" s="81">
        <f t="shared" si="7"/>
        <v>15723.684705882353</v>
      </c>
      <c r="G173" s="72">
        <v>98479.92</v>
      </c>
      <c r="I173" s="80"/>
    </row>
    <row r="174" spans="1:9" ht="16.5" thickBot="1" x14ac:dyDescent="0.3">
      <c r="A174" s="56" t="s">
        <v>16</v>
      </c>
      <c r="B174" s="36" t="s">
        <v>184</v>
      </c>
      <c r="C174" s="37"/>
      <c r="D174" s="38">
        <v>43786</v>
      </c>
      <c r="E174" s="39">
        <f t="shared" si="8"/>
        <v>82632</v>
      </c>
      <c r="F174" s="83">
        <f t="shared" si="7"/>
        <v>15700.08</v>
      </c>
      <c r="G174" s="73">
        <v>98332.08</v>
      </c>
      <c r="I174" s="80"/>
    </row>
    <row r="175" spans="1:9" ht="16.5" thickBot="1" x14ac:dyDescent="0.3">
      <c r="A175" s="55" t="s">
        <v>16</v>
      </c>
      <c r="B175" s="23" t="s">
        <v>185</v>
      </c>
      <c r="C175" s="8"/>
      <c r="D175" s="21">
        <v>43786</v>
      </c>
      <c r="E175" s="13">
        <f t="shared" si="8"/>
        <v>82166.117647058825</v>
      </c>
      <c r="F175" s="81">
        <f t="shared" si="7"/>
        <v>15611.562352941177</v>
      </c>
      <c r="G175" s="72">
        <v>97777.68</v>
      </c>
      <c r="I175" s="80"/>
    </row>
    <row r="176" spans="1:9" ht="15.75" x14ac:dyDescent="0.25">
      <c r="A176" s="28" t="s">
        <v>16</v>
      </c>
      <c r="B176" s="24" t="s">
        <v>186</v>
      </c>
      <c r="C176" s="9"/>
      <c r="D176" s="124">
        <v>43786</v>
      </c>
      <c r="E176" s="14">
        <f t="shared" si="8"/>
        <v>82290.352941176476</v>
      </c>
      <c r="F176" s="127">
        <f t="shared" si="7"/>
        <v>15635.16705882353</v>
      </c>
      <c r="G176" s="27">
        <v>97925.52</v>
      </c>
      <c r="I176" s="80"/>
    </row>
    <row r="177" spans="1:9" ht="16.5" thickBot="1" x14ac:dyDescent="0.3">
      <c r="A177" s="58" t="s">
        <v>16</v>
      </c>
      <c r="B177" s="22" t="s">
        <v>187</v>
      </c>
      <c r="C177" s="7"/>
      <c r="D177" s="125">
        <v>43787</v>
      </c>
      <c r="E177" s="12">
        <f t="shared" si="8"/>
        <v>83796.705882352951</v>
      </c>
      <c r="F177" s="128">
        <f t="shared" si="7"/>
        <v>15921.374117647061</v>
      </c>
      <c r="G177" s="71">
        <v>99718.080000000002</v>
      </c>
      <c r="I177" s="80"/>
    </row>
    <row r="178" spans="1:9" ht="16.5" thickBot="1" x14ac:dyDescent="0.3">
      <c r="A178" s="55" t="s">
        <v>16</v>
      </c>
      <c r="B178" s="23" t="s">
        <v>188</v>
      </c>
      <c r="C178" s="8"/>
      <c r="D178" s="21">
        <v>43787</v>
      </c>
      <c r="E178" s="13">
        <f t="shared" si="8"/>
        <v>81638.319327731107</v>
      </c>
      <c r="F178" s="81">
        <f t="shared" si="7"/>
        <v>15511.280672268911</v>
      </c>
      <c r="G178" s="15">
        <v>97149.6</v>
      </c>
      <c r="I178" s="80"/>
    </row>
    <row r="179" spans="1:9" ht="16.5" thickBot="1" x14ac:dyDescent="0.3">
      <c r="A179" s="56" t="s">
        <v>16</v>
      </c>
      <c r="B179" s="36" t="s">
        <v>189</v>
      </c>
      <c r="C179" s="37"/>
      <c r="D179" s="38">
        <v>43787</v>
      </c>
      <c r="E179" s="39">
        <f t="shared" si="8"/>
        <v>81015.126050420178</v>
      </c>
      <c r="F179" s="83">
        <f t="shared" si="7"/>
        <v>15392.873949579835</v>
      </c>
      <c r="G179" s="40">
        <v>96408</v>
      </c>
      <c r="I179" s="80"/>
    </row>
    <row r="180" spans="1:9" ht="16.5" thickBot="1" x14ac:dyDescent="0.3">
      <c r="A180" s="55" t="s">
        <v>16</v>
      </c>
      <c r="B180" s="23" t="s">
        <v>190</v>
      </c>
      <c r="C180" s="8"/>
      <c r="D180" s="21">
        <v>43787</v>
      </c>
      <c r="E180" s="13">
        <f t="shared" si="8"/>
        <v>81987.31092436974</v>
      </c>
      <c r="F180" s="81">
        <f t="shared" si="7"/>
        <v>15577.589075630251</v>
      </c>
      <c r="G180" s="15">
        <v>97564.9</v>
      </c>
      <c r="I180" s="80"/>
    </row>
    <row r="181" spans="1:9" ht="16.5" thickBot="1" x14ac:dyDescent="0.3">
      <c r="A181" s="55" t="s">
        <v>16</v>
      </c>
      <c r="B181" s="23" t="s">
        <v>191</v>
      </c>
      <c r="C181" s="8"/>
      <c r="D181" s="21">
        <v>43787</v>
      </c>
      <c r="E181" s="13">
        <f t="shared" si="8"/>
        <v>83233.697478991598</v>
      </c>
      <c r="F181" s="81">
        <f t="shared" si="7"/>
        <v>15814.402521008404</v>
      </c>
      <c r="G181" s="15">
        <v>99048.1</v>
      </c>
      <c r="I181" s="80"/>
    </row>
    <row r="182" spans="1:9" ht="16.5" thickBot="1" x14ac:dyDescent="0.3">
      <c r="A182" s="55" t="s">
        <v>16</v>
      </c>
      <c r="B182" s="23" t="s">
        <v>192</v>
      </c>
      <c r="C182" s="8"/>
      <c r="D182" s="21">
        <v>43787</v>
      </c>
      <c r="E182" s="13">
        <f t="shared" si="8"/>
        <v>83183.840336134468</v>
      </c>
      <c r="F182" s="81">
        <f t="shared" si="7"/>
        <v>15804.929663865549</v>
      </c>
      <c r="G182" s="15">
        <v>98988.77</v>
      </c>
      <c r="I182" s="80"/>
    </row>
    <row r="183" spans="1:9" ht="16.5" thickBot="1" x14ac:dyDescent="0.3">
      <c r="A183" s="56" t="s">
        <v>16</v>
      </c>
      <c r="B183" s="36" t="s">
        <v>193</v>
      </c>
      <c r="C183" s="37"/>
      <c r="D183" s="38">
        <v>43787</v>
      </c>
      <c r="E183" s="39">
        <f t="shared" si="8"/>
        <v>83133.983193277323</v>
      </c>
      <c r="F183" s="83">
        <f t="shared" si="7"/>
        <v>15795.456806722692</v>
      </c>
      <c r="G183" s="40">
        <v>98929.44</v>
      </c>
      <c r="I183" s="80"/>
    </row>
    <row r="184" spans="1:9" ht="16.5" thickBot="1" x14ac:dyDescent="0.3">
      <c r="A184" s="55" t="s">
        <v>16</v>
      </c>
      <c r="B184" s="23" t="s">
        <v>194</v>
      </c>
      <c r="C184" s="8"/>
      <c r="D184" s="21">
        <v>43789</v>
      </c>
      <c r="E184" s="13">
        <f t="shared" si="8"/>
        <v>83507.899159663866</v>
      </c>
      <c r="F184" s="81">
        <f t="shared" si="7"/>
        <v>15866.500840336135</v>
      </c>
      <c r="G184" s="15">
        <v>99374.399999999994</v>
      </c>
      <c r="I184" s="80"/>
    </row>
    <row r="185" spans="1:9" ht="16.5" thickBot="1" x14ac:dyDescent="0.3">
      <c r="A185" s="56" t="s">
        <v>16</v>
      </c>
      <c r="B185" s="36" t="s">
        <v>195</v>
      </c>
      <c r="C185" s="37"/>
      <c r="D185" s="38">
        <v>43789</v>
      </c>
      <c r="E185" s="39">
        <f t="shared" si="8"/>
        <v>83881.815126050424</v>
      </c>
      <c r="F185" s="83">
        <f t="shared" si="7"/>
        <v>15937.544873949581</v>
      </c>
      <c r="G185" s="40">
        <v>99819.36</v>
      </c>
      <c r="I185" s="80"/>
    </row>
    <row r="186" spans="1:9" ht="16.5" thickBot="1" x14ac:dyDescent="0.3">
      <c r="A186" s="55" t="s">
        <v>16</v>
      </c>
      <c r="B186" s="23" t="s">
        <v>196</v>
      </c>
      <c r="C186" s="8"/>
      <c r="D186" s="21">
        <v>43789</v>
      </c>
      <c r="E186" s="13">
        <f t="shared" si="8"/>
        <v>83931.672268907569</v>
      </c>
      <c r="F186" s="81">
        <f t="shared" si="7"/>
        <v>15947.017731092439</v>
      </c>
      <c r="G186" s="15">
        <v>99878.69</v>
      </c>
      <c r="I186" s="80"/>
    </row>
    <row r="187" spans="1:9" ht="16.5" thickBot="1" x14ac:dyDescent="0.3">
      <c r="A187" s="62" t="s">
        <v>16</v>
      </c>
      <c r="B187" s="63" t="s">
        <v>197</v>
      </c>
      <c r="C187" s="64"/>
      <c r="D187" s="76">
        <v>43789</v>
      </c>
      <c r="E187" s="67">
        <f t="shared" si="8"/>
        <v>83956.596638655465</v>
      </c>
      <c r="F187" s="82">
        <f t="shared" si="7"/>
        <v>15951.753361344539</v>
      </c>
      <c r="G187" s="68">
        <v>99908.35</v>
      </c>
      <c r="I187" s="80"/>
    </row>
    <row r="188" spans="1:9" ht="16.5" thickBot="1" x14ac:dyDescent="0.3">
      <c r="A188" s="55" t="s">
        <v>16</v>
      </c>
      <c r="B188" s="23" t="s">
        <v>198</v>
      </c>
      <c r="C188" s="78"/>
      <c r="D188" s="21">
        <v>43793</v>
      </c>
      <c r="E188" s="13">
        <f t="shared" ref="E188:E212" si="9">(G188-I188)/1.19</f>
        <v>83858.823529411762</v>
      </c>
      <c r="F188" s="81">
        <f t="shared" ref="F188:F201" si="10">E188*0.19</f>
        <v>15933.176470588234</v>
      </c>
      <c r="G188" s="15">
        <v>99792</v>
      </c>
      <c r="I188" s="80"/>
    </row>
    <row r="189" spans="1:9" ht="16.5" thickBot="1" x14ac:dyDescent="0.3">
      <c r="A189" s="56" t="s">
        <v>16</v>
      </c>
      <c r="B189" s="36" t="s">
        <v>199</v>
      </c>
      <c r="C189" s="37"/>
      <c r="D189" s="38">
        <v>43793</v>
      </c>
      <c r="E189" s="39">
        <f t="shared" si="9"/>
        <v>80752.941176470587</v>
      </c>
      <c r="F189" s="83">
        <f t="shared" si="10"/>
        <v>15343.058823529413</v>
      </c>
      <c r="G189" s="40">
        <v>96096</v>
      </c>
      <c r="I189" s="80"/>
    </row>
    <row r="190" spans="1:9" ht="16.5" thickBot="1" x14ac:dyDescent="0.3">
      <c r="A190" s="55" t="s">
        <v>16</v>
      </c>
      <c r="B190" s="23" t="s">
        <v>200</v>
      </c>
      <c r="C190" s="8"/>
      <c r="D190" s="21">
        <v>43793</v>
      </c>
      <c r="E190" s="13">
        <f t="shared" si="9"/>
        <v>79200</v>
      </c>
      <c r="F190" s="81">
        <f t="shared" si="10"/>
        <v>15048</v>
      </c>
      <c r="G190" s="15">
        <v>94248</v>
      </c>
      <c r="I190" s="80"/>
    </row>
    <row r="191" spans="1:9" ht="16.5" thickBot="1" x14ac:dyDescent="0.3">
      <c r="A191" s="56" t="s">
        <v>16</v>
      </c>
      <c r="B191" s="36" t="s">
        <v>201</v>
      </c>
      <c r="C191" s="37"/>
      <c r="D191" s="38">
        <v>43793</v>
      </c>
      <c r="E191" s="39">
        <f t="shared" si="9"/>
        <v>83455.058823529413</v>
      </c>
      <c r="F191" s="83">
        <f t="shared" si="10"/>
        <v>15856.461176470588</v>
      </c>
      <c r="G191" s="40">
        <v>99311.52</v>
      </c>
      <c r="I191" s="80"/>
    </row>
    <row r="192" spans="1:9" ht="16.5" thickBot="1" x14ac:dyDescent="0.3">
      <c r="A192" s="55" t="s">
        <v>16</v>
      </c>
      <c r="B192" s="23" t="s">
        <v>202</v>
      </c>
      <c r="C192" s="8"/>
      <c r="D192" s="21">
        <v>43794</v>
      </c>
      <c r="E192" s="13">
        <f t="shared" si="9"/>
        <v>82041.882352941175</v>
      </c>
      <c r="F192" s="81">
        <f t="shared" si="10"/>
        <v>15587.957647058824</v>
      </c>
      <c r="G192" s="15">
        <v>97629.84</v>
      </c>
      <c r="I192" s="80"/>
    </row>
    <row r="193" spans="1:9" ht="16.5" thickBot="1" x14ac:dyDescent="0.3">
      <c r="A193" s="77" t="s">
        <v>30</v>
      </c>
      <c r="B193" s="36" t="s">
        <v>203</v>
      </c>
      <c r="C193" s="37"/>
      <c r="D193" s="38">
        <v>43794</v>
      </c>
      <c r="E193" s="39">
        <f t="shared" si="9"/>
        <v>82735.14285714287</v>
      </c>
      <c r="F193" s="83">
        <f t="shared" si="10"/>
        <v>15719.677142857145</v>
      </c>
      <c r="G193" s="40">
        <v>98454.82</v>
      </c>
      <c r="I193" s="80"/>
    </row>
    <row r="194" spans="1:9" ht="16.5" thickBot="1" x14ac:dyDescent="0.3">
      <c r="A194" s="20" t="s">
        <v>30</v>
      </c>
      <c r="B194" s="23" t="s">
        <v>204</v>
      </c>
      <c r="C194" s="8"/>
      <c r="D194" s="21">
        <v>43794</v>
      </c>
      <c r="E194" s="13">
        <f t="shared" si="9"/>
        <v>81015.126050420178</v>
      </c>
      <c r="F194" s="81">
        <f t="shared" si="10"/>
        <v>15392.873949579835</v>
      </c>
      <c r="G194" s="15">
        <v>96408</v>
      </c>
      <c r="I194" s="80"/>
    </row>
    <row r="195" spans="1:9" ht="16.5" thickBot="1" x14ac:dyDescent="0.3">
      <c r="A195" s="35" t="s">
        <v>30</v>
      </c>
      <c r="B195" s="36" t="s">
        <v>205</v>
      </c>
      <c r="C195" s="37"/>
      <c r="D195" s="38">
        <v>43794</v>
      </c>
      <c r="E195" s="39">
        <f t="shared" si="9"/>
        <v>81314.26050420168</v>
      </c>
      <c r="F195" s="83">
        <f t="shared" si="10"/>
        <v>15449.709495798319</v>
      </c>
      <c r="G195" s="40">
        <v>96763.97</v>
      </c>
      <c r="I195" s="80"/>
    </row>
    <row r="196" spans="1:9" ht="16.5" thickBot="1" x14ac:dyDescent="0.3">
      <c r="A196" s="20" t="s">
        <v>31</v>
      </c>
      <c r="B196" s="23" t="s">
        <v>206</v>
      </c>
      <c r="C196" s="8"/>
      <c r="D196" s="21">
        <v>43796</v>
      </c>
      <c r="E196" s="13">
        <f t="shared" si="9"/>
        <v>83314.285714285725</v>
      </c>
      <c r="F196" s="81">
        <f t="shared" si="10"/>
        <v>15829.714285714288</v>
      </c>
      <c r="G196" s="15">
        <v>99144</v>
      </c>
      <c r="I196" s="80"/>
    </row>
    <row r="197" spans="1:9" ht="16.5" thickBot="1" x14ac:dyDescent="0.3">
      <c r="A197" s="20" t="s">
        <v>31</v>
      </c>
      <c r="B197" s="23" t="s">
        <v>207</v>
      </c>
      <c r="C197" s="8"/>
      <c r="D197" s="21">
        <v>43796</v>
      </c>
      <c r="E197" s="13">
        <f t="shared" si="9"/>
        <v>81121.159663865546</v>
      </c>
      <c r="F197" s="81">
        <f t="shared" si="10"/>
        <v>15413.020336134454</v>
      </c>
      <c r="G197" s="15">
        <v>96534.18</v>
      </c>
      <c r="I197" s="80"/>
    </row>
    <row r="198" spans="1:9" ht="16.5" thickBot="1" x14ac:dyDescent="0.3">
      <c r="A198" s="20" t="s">
        <v>32</v>
      </c>
      <c r="B198" s="23" t="s">
        <v>208</v>
      </c>
      <c r="C198" s="8"/>
      <c r="D198" s="21">
        <v>43796</v>
      </c>
      <c r="E198" s="13">
        <f t="shared" si="9"/>
        <v>79369.109243697487</v>
      </c>
      <c r="F198" s="81">
        <f t="shared" si="10"/>
        <v>15080.130756302522</v>
      </c>
      <c r="G198" s="15">
        <v>94449.24</v>
      </c>
      <c r="I198" s="80"/>
    </row>
    <row r="199" spans="1:9" ht="16.5" thickBot="1" x14ac:dyDescent="0.3">
      <c r="A199" s="35" t="s">
        <v>31</v>
      </c>
      <c r="B199" s="36" t="s">
        <v>209</v>
      </c>
      <c r="C199" s="37"/>
      <c r="D199" s="38">
        <v>43796</v>
      </c>
      <c r="E199" s="39">
        <f t="shared" si="9"/>
        <v>81648</v>
      </c>
      <c r="F199" s="83">
        <f t="shared" si="10"/>
        <v>15513.12</v>
      </c>
      <c r="G199" s="40">
        <v>97161.12</v>
      </c>
      <c r="I199" s="80"/>
    </row>
    <row r="200" spans="1:9" ht="16.5" thickBot="1" x14ac:dyDescent="0.3">
      <c r="A200" s="20" t="s">
        <v>31</v>
      </c>
      <c r="B200" s="23" t="s">
        <v>210</v>
      </c>
      <c r="C200" s="8"/>
      <c r="D200" s="21">
        <v>43797</v>
      </c>
      <c r="E200" s="13">
        <f t="shared" si="9"/>
        <v>82370.873949579836</v>
      </c>
      <c r="F200" s="81">
        <f t="shared" si="10"/>
        <v>15650.466050420169</v>
      </c>
      <c r="G200" s="15">
        <v>98021.34</v>
      </c>
      <c r="I200" s="80"/>
    </row>
    <row r="201" spans="1:9" ht="16.5" thickBot="1" x14ac:dyDescent="0.3">
      <c r="A201" s="35" t="s">
        <v>30</v>
      </c>
      <c r="B201" s="36" t="s">
        <v>211</v>
      </c>
      <c r="C201" s="37"/>
      <c r="D201" s="38">
        <v>43797</v>
      </c>
      <c r="E201" s="39">
        <f t="shared" si="9"/>
        <v>83607.613445378156</v>
      </c>
      <c r="F201" s="83">
        <f t="shared" si="10"/>
        <v>15885.446554621851</v>
      </c>
      <c r="G201" s="40">
        <v>99493.06</v>
      </c>
      <c r="I201" s="80"/>
    </row>
    <row r="202" spans="1:9" ht="16.5" thickBot="1" x14ac:dyDescent="0.3">
      <c r="A202" s="20" t="s">
        <v>30</v>
      </c>
      <c r="B202" s="23" t="s">
        <v>212</v>
      </c>
      <c r="C202" s="8"/>
      <c r="D202" s="21">
        <v>43797</v>
      </c>
      <c r="E202" s="13">
        <f t="shared" si="9"/>
        <v>83183.840336134468</v>
      </c>
      <c r="F202" s="81">
        <f>E202*0.19</f>
        <v>15804.929663865549</v>
      </c>
      <c r="G202" s="15">
        <v>98988.77</v>
      </c>
      <c r="I202" s="80"/>
    </row>
    <row r="203" spans="1:9" ht="16.5" thickBot="1" x14ac:dyDescent="0.3">
      <c r="A203" s="35" t="s">
        <v>16</v>
      </c>
      <c r="B203" s="36" t="s">
        <v>213</v>
      </c>
      <c r="C203" s="37"/>
      <c r="D203" s="38">
        <v>43797</v>
      </c>
      <c r="E203" s="39">
        <f t="shared" si="9"/>
        <v>83594.823529411762</v>
      </c>
      <c r="F203" s="83">
        <f t="shared" ref="F203:F212" si="11">E203*0.19</f>
        <v>15883.016470588234</v>
      </c>
      <c r="G203" s="40">
        <v>99477.84</v>
      </c>
      <c r="I203" s="80"/>
    </row>
    <row r="204" spans="1:9" ht="16.5" thickBot="1" x14ac:dyDescent="0.3">
      <c r="A204" s="20" t="s">
        <v>16</v>
      </c>
      <c r="B204" s="23" t="s">
        <v>214</v>
      </c>
      <c r="C204" s="8"/>
      <c r="D204" s="21">
        <v>43800</v>
      </c>
      <c r="E204" s="13">
        <f t="shared" si="9"/>
        <v>82973.647058823539</v>
      </c>
      <c r="F204" s="81">
        <f t="shared" si="11"/>
        <v>15764.992941176473</v>
      </c>
      <c r="G204" s="15">
        <v>98738.64</v>
      </c>
      <c r="I204" s="80"/>
    </row>
    <row r="205" spans="1:9" ht="16.5" thickBot="1" x14ac:dyDescent="0.3">
      <c r="A205" s="35" t="s">
        <v>16</v>
      </c>
      <c r="B205" s="36" t="s">
        <v>215</v>
      </c>
      <c r="C205" s="37"/>
      <c r="D205" s="38">
        <v>43800</v>
      </c>
      <c r="E205" s="39">
        <f t="shared" si="9"/>
        <v>82476.705882352937</v>
      </c>
      <c r="F205" s="83">
        <f t="shared" si="11"/>
        <v>15670.574117647058</v>
      </c>
      <c r="G205" s="40">
        <v>98147.28</v>
      </c>
      <c r="I205" s="80"/>
    </row>
    <row r="206" spans="1:9" ht="16.5" thickBot="1" x14ac:dyDescent="0.3">
      <c r="A206" s="57" t="s">
        <v>16</v>
      </c>
      <c r="B206" s="23" t="s">
        <v>216</v>
      </c>
      <c r="C206" s="8"/>
      <c r="D206" s="21">
        <v>43800</v>
      </c>
      <c r="E206" s="13">
        <f t="shared" si="9"/>
        <v>82942.588235294112</v>
      </c>
      <c r="F206" s="81">
        <f t="shared" si="11"/>
        <v>15759.091764705881</v>
      </c>
      <c r="G206" s="15">
        <v>98701.68</v>
      </c>
      <c r="I206" s="80"/>
    </row>
    <row r="207" spans="1:9" ht="16.5" thickBot="1" x14ac:dyDescent="0.3">
      <c r="A207" s="35" t="s">
        <v>16</v>
      </c>
      <c r="B207" s="36" t="s">
        <v>217</v>
      </c>
      <c r="C207" s="37"/>
      <c r="D207" s="38">
        <v>43800</v>
      </c>
      <c r="E207" s="67">
        <f t="shared" si="9"/>
        <v>83610.352941176476</v>
      </c>
      <c r="F207" s="83">
        <f t="shared" si="11"/>
        <v>15885.967058823531</v>
      </c>
      <c r="G207" s="40">
        <v>99496.320000000007</v>
      </c>
      <c r="I207" s="80"/>
    </row>
    <row r="208" spans="1:9" ht="16.5" thickBot="1" x14ac:dyDescent="0.3">
      <c r="A208" s="20" t="s">
        <v>16</v>
      </c>
      <c r="B208" s="23" t="s">
        <v>218</v>
      </c>
      <c r="C208" s="8"/>
      <c r="D208" s="21">
        <v>43800</v>
      </c>
      <c r="E208" s="13">
        <f t="shared" si="9"/>
        <v>83594.823529411762</v>
      </c>
      <c r="F208" s="13">
        <f t="shared" si="11"/>
        <v>15883.016470588234</v>
      </c>
      <c r="G208" s="15">
        <v>99477.84</v>
      </c>
      <c r="I208" s="80"/>
    </row>
    <row r="209" spans="1:9" ht="16.5" thickBot="1" x14ac:dyDescent="0.3">
      <c r="A209" s="20" t="s">
        <v>16</v>
      </c>
      <c r="B209" s="23" t="s">
        <v>219</v>
      </c>
      <c r="C209" s="8"/>
      <c r="D209" s="21">
        <v>43801</v>
      </c>
      <c r="E209" s="13">
        <f t="shared" si="9"/>
        <v>82973.647058823539</v>
      </c>
      <c r="F209" s="13">
        <f t="shared" si="11"/>
        <v>15764.992941176473</v>
      </c>
      <c r="G209" s="15">
        <v>98738.64</v>
      </c>
      <c r="I209" s="80"/>
    </row>
    <row r="210" spans="1:9" ht="16.5" thickBot="1" x14ac:dyDescent="0.3">
      <c r="A210" s="35" t="s">
        <v>16</v>
      </c>
      <c r="B210" s="36" t="s">
        <v>220</v>
      </c>
      <c r="C210" s="37"/>
      <c r="D210" s="38">
        <v>43801</v>
      </c>
      <c r="E210" s="39">
        <f t="shared" si="9"/>
        <v>82476.705882352937</v>
      </c>
      <c r="F210" s="39">
        <f t="shared" si="11"/>
        <v>15670.574117647058</v>
      </c>
      <c r="G210" s="40">
        <v>98147.28</v>
      </c>
      <c r="I210" s="80"/>
    </row>
    <row r="211" spans="1:9" ht="16.5" thickBot="1" x14ac:dyDescent="0.3">
      <c r="A211" s="57" t="s">
        <v>16</v>
      </c>
      <c r="B211" s="23" t="s">
        <v>221</v>
      </c>
      <c r="C211" s="8"/>
      <c r="D211" s="21">
        <v>43801</v>
      </c>
      <c r="E211" s="13">
        <f t="shared" si="9"/>
        <v>82942.588235294112</v>
      </c>
      <c r="F211" s="13">
        <f t="shared" si="11"/>
        <v>15759.091764705881</v>
      </c>
      <c r="G211" s="15">
        <v>98701.68</v>
      </c>
      <c r="I211" s="80"/>
    </row>
    <row r="212" spans="1:9" ht="16.5" thickBot="1" x14ac:dyDescent="0.3">
      <c r="A212" s="35" t="s">
        <v>16</v>
      </c>
      <c r="B212" s="36" t="s">
        <v>222</v>
      </c>
      <c r="C212" s="37"/>
      <c r="D212" s="38">
        <v>43801</v>
      </c>
      <c r="E212" s="39">
        <f t="shared" si="9"/>
        <v>83610.352941176476</v>
      </c>
      <c r="F212" s="39">
        <f t="shared" si="11"/>
        <v>15885.967058823531</v>
      </c>
      <c r="G212" s="40">
        <v>99496.320000000007</v>
      </c>
      <c r="I212" s="80"/>
    </row>
    <row r="213" spans="1:9" ht="16.5" thickBot="1" x14ac:dyDescent="0.3">
      <c r="A213" s="55" t="s">
        <v>30</v>
      </c>
      <c r="B213" s="23" t="s">
        <v>223</v>
      </c>
      <c r="C213" s="8"/>
      <c r="D213" s="69">
        <v>43801</v>
      </c>
      <c r="E213" s="47">
        <f t="shared" ref="E213:E228" si="12">(G213-I213)/1.19</f>
        <v>82971.949579831926</v>
      </c>
      <c r="F213" s="13">
        <f t="shared" ref="F213:F228" si="13">E213*0.19</f>
        <v>15764.670420168066</v>
      </c>
      <c r="G213" s="72">
        <v>98736.62</v>
      </c>
      <c r="I213" s="80"/>
    </row>
    <row r="214" spans="1:9" ht="16.5" thickBot="1" x14ac:dyDescent="0.3">
      <c r="A214" s="62" t="s">
        <v>30</v>
      </c>
      <c r="B214" s="63" t="s">
        <v>224</v>
      </c>
      <c r="C214" s="64"/>
      <c r="D214" s="65">
        <v>43802</v>
      </c>
      <c r="E214" s="66">
        <f t="shared" si="12"/>
        <v>82996.882352941175</v>
      </c>
      <c r="F214" s="67">
        <f t="shared" si="13"/>
        <v>15769.407647058824</v>
      </c>
      <c r="G214" s="74">
        <v>98766.29</v>
      </c>
      <c r="I214" s="80"/>
    </row>
    <row r="215" spans="1:9" ht="16.5" thickBot="1" x14ac:dyDescent="0.3">
      <c r="A215" s="55" t="s">
        <v>16</v>
      </c>
      <c r="B215" s="23" t="s">
        <v>225</v>
      </c>
      <c r="C215" s="8"/>
      <c r="D215" s="69">
        <v>43802</v>
      </c>
      <c r="E215" s="47">
        <f t="shared" si="12"/>
        <v>78609.882352941175</v>
      </c>
      <c r="F215" s="13">
        <f t="shared" si="13"/>
        <v>14935.877647058824</v>
      </c>
      <c r="G215" s="72">
        <v>93545.76</v>
      </c>
      <c r="I215" s="80"/>
    </row>
    <row r="216" spans="1:9" ht="16.5" thickBot="1" x14ac:dyDescent="0.3">
      <c r="A216" s="56" t="s">
        <v>16</v>
      </c>
      <c r="B216" s="36" t="s">
        <v>226</v>
      </c>
      <c r="C216" s="37"/>
      <c r="D216" s="70">
        <v>43802</v>
      </c>
      <c r="E216" s="52">
        <f t="shared" si="12"/>
        <v>83284.23529411765</v>
      </c>
      <c r="F216" s="39">
        <f t="shared" si="13"/>
        <v>15824.004705882353</v>
      </c>
      <c r="G216" s="73">
        <v>99108.24</v>
      </c>
      <c r="I216" s="80"/>
    </row>
    <row r="217" spans="1:9" ht="16.5" thickBot="1" x14ac:dyDescent="0.3">
      <c r="A217" s="55" t="s">
        <v>16</v>
      </c>
      <c r="B217" s="23" t="s">
        <v>227</v>
      </c>
      <c r="C217" s="8"/>
      <c r="D217" s="69">
        <v>43802</v>
      </c>
      <c r="E217" s="47">
        <f t="shared" si="12"/>
        <v>83439.529411764699</v>
      </c>
      <c r="F217" s="13">
        <f t="shared" si="13"/>
        <v>15853.510588235293</v>
      </c>
      <c r="G217" s="72">
        <v>99293.04</v>
      </c>
      <c r="I217" s="80"/>
    </row>
    <row r="218" spans="1:9" ht="16.5" thickBot="1" x14ac:dyDescent="0.3">
      <c r="A218" s="56" t="s">
        <v>16</v>
      </c>
      <c r="B218" s="36" t="s">
        <v>228</v>
      </c>
      <c r="C218" s="37"/>
      <c r="D218" s="70">
        <v>43803</v>
      </c>
      <c r="E218" s="52">
        <f t="shared" si="12"/>
        <v>83486.117647058825</v>
      </c>
      <c r="F218" s="39">
        <f t="shared" si="13"/>
        <v>15862.362352941176</v>
      </c>
      <c r="G218" s="73">
        <v>99348.479999999996</v>
      </c>
      <c r="I218" s="80"/>
    </row>
    <row r="219" spans="1:9" ht="16.5" thickBot="1" x14ac:dyDescent="0.3">
      <c r="A219" s="55" t="s">
        <v>16</v>
      </c>
      <c r="B219" s="23" t="s">
        <v>229</v>
      </c>
      <c r="C219" s="8"/>
      <c r="D219" s="69">
        <v>43803</v>
      </c>
      <c r="E219" s="47">
        <f t="shared" si="12"/>
        <v>83408.470588235301</v>
      </c>
      <c r="F219" s="13">
        <f t="shared" si="13"/>
        <v>15847.609411764708</v>
      </c>
      <c r="G219" s="72">
        <v>99256.08</v>
      </c>
      <c r="I219" s="80"/>
    </row>
    <row r="220" spans="1:9" ht="16.5" thickBot="1" x14ac:dyDescent="0.3">
      <c r="A220" s="56" t="s">
        <v>16</v>
      </c>
      <c r="B220" s="36" t="s">
        <v>230</v>
      </c>
      <c r="C220" s="37"/>
      <c r="D220" s="70">
        <v>43803</v>
      </c>
      <c r="E220" s="52">
        <f t="shared" si="12"/>
        <v>83361.882352941175</v>
      </c>
      <c r="F220" s="39">
        <f t="shared" si="13"/>
        <v>15838.757647058823</v>
      </c>
      <c r="G220" s="73">
        <v>99200.639999999999</v>
      </c>
      <c r="I220" s="80"/>
    </row>
    <row r="221" spans="1:9" ht="16.5" thickBot="1" x14ac:dyDescent="0.3">
      <c r="A221" s="55" t="s">
        <v>31</v>
      </c>
      <c r="B221" s="60" t="s">
        <v>231</v>
      </c>
      <c r="C221" s="48"/>
      <c r="D221" s="49">
        <v>43804</v>
      </c>
      <c r="E221" s="13">
        <f t="shared" si="12"/>
        <v>83988.151260504193</v>
      </c>
      <c r="F221" s="47">
        <f t="shared" si="13"/>
        <v>15957.748739495797</v>
      </c>
      <c r="G221" s="15">
        <v>99945.9</v>
      </c>
      <c r="I221" s="80"/>
    </row>
    <row r="222" spans="1:9" ht="16.5" thickBot="1" x14ac:dyDescent="0.3">
      <c r="A222" s="56" t="s">
        <v>31</v>
      </c>
      <c r="B222" s="61" t="s">
        <v>232</v>
      </c>
      <c r="C222" s="50"/>
      <c r="D222" s="51">
        <v>43804</v>
      </c>
      <c r="E222" s="39">
        <f t="shared" si="12"/>
        <v>84012.655462184877</v>
      </c>
      <c r="F222" s="52">
        <f t="shared" si="13"/>
        <v>15962.404537815128</v>
      </c>
      <c r="G222" s="40">
        <v>99975.06</v>
      </c>
      <c r="I222" s="80"/>
    </row>
    <row r="223" spans="1:9" ht="16.5" thickBot="1" x14ac:dyDescent="0.3">
      <c r="A223" s="55" t="s">
        <v>16</v>
      </c>
      <c r="B223" s="60" t="s">
        <v>233</v>
      </c>
      <c r="C223" s="48"/>
      <c r="D223" s="49">
        <v>43804</v>
      </c>
      <c r="E223" s="13">
        <f t="shared" si="12"/>
        <v>80752.941176470587</v>
      </c>
      <c r="F223" s="47">
        <f t="shared" si="13"/>
        <v>15343.058823529413</v>
      </c>
      <c r="G223" s="15">
        <v>96096</v>
      </c>
      <c r="I223" s="80"/>
    </row>
    <row r="224" spans="1:9" ht="16.5" thickBot="1" x14ac:dyDescent="0.3">
      <c r="A224" s="56" t="s">
        <v>16</v>
      </c>
      <c r="B224" s="61" t="s">
        <v>234</v>
      </c>
      <c r="C224" s="50"/>
      <c r="D224" s="51">
        <v>43804</v>
      </c>
      <c r="E224" s="39">
        <f t="shared" si="12"/>
        <v>81591.529411764714</v>
      </c>
      <c r="F224" s="52">
        <f t="shared" si="13"/>
        <v>15502.390588235296</v>
      </c>
      <c r="G224" s="40">
        <v>97093.92</v>
      </c>
      <c r="I224" s="80"/>
    </row>
    <row r="225" spans="1:9" ht="16.5" thickBot="1" x14ac:dyDescent="0.3">
      <c r="A225" s="55" t="s">
        <v>16</v>
      </c>
      <c r="B225" s="60" t="s">
        <v>235</v>
      </c>
      <c r="C225" s="48"/>
      <c r="D225" s="49">
        <v>43807</v>
      </c>
      <c r="E225" s="13">
        <f t="shared" si="12"/>
        <v>81684.705882352951</v>
      </c>
      <c r="F225" s="47">
        <f t="shared" si="13"/>
        <v>15520.094117647061</v>
      </c>
      <c r="G225" s="15">
        <v>97204.800000000003</v>
      </c>
      <c r="I225" s="80"/>
    </row>
    <row r="226" spans="1:9" ht="16.5" thickBot="1" x14ac:dyDescent="0.3">
      <c r="A226" s="56" t="s">
        <v>16</v>
      </c>
      <c r="B226" s="61" t="s">
        <v>236</v>
      </c>
      <c r="C226" s="50"/>
      <c r="D226" s="51">
        <v>43807</v>
      </c>
      <c r="E226" s="39">
        <f t="shared" si="12"/>
        <v>81777.882352941175</v>
      </c>
      <c r="F226" s="52">
        <f t="shared" si="13"/>
        <v>15537.797647058824</v>
      </c>
      <c r="G226" s="40">
        <v>97315.68</v>
      </c>
      <c r="I226" s="80"/>
    </row>
    <row r="227" spans="1:9" ht="16.5" thickBot="1" x14ac:dyDescent="0.3">
      <c r="A227" s="55" t="s">
        <v>16</v>
      </c>
      <c r="B227" s="60" t="s">
        <v>237</v>
      </c>
      <c r="C227" s="48"/>
      <c r="D227" s="49">
        <v>43807</v>
      </c>
      <c r="E227" s="13">
        <f t="shared" si="12"/>
        <v>81871.058823529413</v>
      </c>
      <c r="F227" s="47">
        <f t="shared" si="13"/>
        <v>15555.501176470589</v>
      </c>
      <c r="G227" s="15">
        <v>97426.559999999998</v>
      </c>
      <c r="I227" s="80"/>
    </row>
    <row r="228" spans="1:9" ht="16.5" thickBot="1" x14ac:dyDescent="0.3">
      <c r="A228" s="56" t="s">
        <v>16</v>
      </c>
      <c r="B228" s="61" t="s">
        <v>238</v>
      </c>
      <c r="C228" s="50"/>
      <c r="D228" s="51">
        <v>43807</v>
      </c>
      <c r="E228" s="39">
        <f t="shared" si="12"/>
        <v>82041.882352941175</v>
      </c>
      <c r="F228" s="52">
        <f t="shared" si="13"/>
        <v>15587.957647058824</v>
      </c>
      <c r="G228" s="40">
        <v>97629.84</v>
      </c>
      <c r="I228" s="80"/>
    </row>
    <row r="229" spans="1:9" ht="16.5" thickBot="1" x14ac:dyDescent="0.3">
      <c r="A229" s="20" t="s">
        <v>31</v>
      </c>
      <c r="B229" s="23" t="s">
        <v>239</v>
      </c>
      <c r="C229" s="8"/>
      <c r="D229" s="69">
        <v>43808</v>
      </c>
      <c r="E229" s="13">
        <f t="shared" ref="E229:E235" si="14">(G229-I229)/1.19</f>
        <v>81648</v>
      </c>
      <c r="F229" s="13">
        <f t="shared" ref="F229:F231" si="15">E229*0.19</f>
        <v>15513.12</v>
      </c>
      <c r="G229" s="15">
        <v>97161.12</v>
      </c>
      <c r="I229" s="80"/>
    </row>
    <row r="230" spans="1:9" ht="16.5" thickBot="1" x14ac:dyDescent="0.3">
      <c r="A230" s="20" t="s">
        <v>31</v>
      </c>
      <c r="B230" s="23" t="s">
        <v>240</v>
      </c>
      <c r="C230" s="8"/>
      <c r="D230" s="69">
        <v>43808</v>
      </c>
      <c r="E230" s="13">
        <f t="shared" si="14"/>
        <v>82370.873949579836</v>
      </c>
      <c r="F230" s="13">
        <f t="shared" si="15"/>
        <v>15650.466050420169</v>
      </c>
      <c r="G230" s="15">
        <v>98021.34</v>
      </c>
      <c r="I230" s="80"/>
    </row>
    <row r="231" spans="1:9" ht="16.5" thickBot="1" x14ac:dyDescent="0.3">
      <c r="A231" s="35" t="s">
        <v>30</v>
      </c>
      <c r="B231" s="36" t="s">
        <v>241</v>
      </c>
      <c r="C231" s="37"/>
      <c r="D231" s="70">
        <v>43808</v>
      </c>
      <c r="E231" s="39">
        <f t="shared" si="14"/>
        <v>83607.613445378156</v>
      </c>
      <c r="F231" s="39">
        <f t="shared" si="15"/>
        <v>15885.446554621851</v>
      </c>
      <c r="G231" s="40">
        <v>99493.06</v>
      </c>
      <c r="I231" s="80"/>
    </row>
    <row r="232" spans="1:9" ht="16.5" thickBot="1" x14ac:dyDescent="0.3">
      <c r="A232" s="20" t="s">
        <v>30</v>
      </c>
      <c r="B232" s="23" t="s">
        <v>242</v>
      </c>
      <c r="C232" s="8"/>
      <c r="D232" s="69">
        <v>43808</v>
      </c>
      <c r="E232" s="13">
        <f t="shared" si="14"/>
        <v>83183.840336134468</v>
      </c>
      <c r="F232" s="13">
        <f>E232*0.19</f>
        <v>15804.929663865549</v>
      </c>
      <c r="G232" s="15">
        <v>98988.77</v>
      </c>
      <c r="I232" s="80"/>
    </row>
    <row r="233" spans="1:9" ht="16.5" thickBot="1" x14ac:dyDescent="0.3">
      <c r="A233" s="20" t="s">
        <v>16</v>
      </c>
      <c r="B233" s="23" t="s">
        <v>243</v>
      </c>
      <c r="C233" s="8"/>
      <c r="D233" s="69">
        <v>43808</v>
      </c>
      <c r="E233" s="13">
        <f t="shared" si="14"/>
        <v>82492.23529411765</v>
      </c>
      <c r="F233" s="13">
        <f>E233*0.19</f>
        <v>15673.524705882353</v>
      </c>
      <c r="G233" s="15">
        <v>98165.759999999995</v>
      </c>
      <c r="I233" s="80"/>
    </row>
    <row r="234" spans="1:9" ht="16.5" thickBot="1" x14ac:dyDescent="0.3">
      <c r="A234" s="20" t="s">
        <v>16</v>
      </c>
      <c r="B234" s="23" t="s">
        <v>244</v>
      </c>
      <c r="C234" s="8"/>
      <c r="D234" s="21">
        <v>43809</v>
      </c>
      <c r="E234" s="13">
        <f t="shared" si="14"/>
        <v>83858.823529411762</v>
      </c>
      <c r="F234" s="13">
        <f>E234*0.19</f>
        <v>15933.176470588234</v>
      </c>
      <c r="G234" s="15">
        <v>99792</v>
      </c>
      <c r="I234" s="80"/>
    </row>
    <row r="235" spans="1:9" ht="16.5" thickBot="1" x14ac:dyDescent="0.3">
      <c r="A235" s="20" t="s">
        <v>16</v>
      </c>
      <c r="B235" s="23" t="s">
        <v>245</v>
      </c>
      <c r="C235" s="8"/>
      <c r="D235" s="21">
        <v>43809</v>
      </c>
      <c r="E235" s="13">
        <f t="shared" si="14"/>
        <v>83889.882352941189</v>
      </c>
      <c r="F235" s="13">
        <f>E235*0.19</f>
        <v>15939.077647058826</v>
      </c>
      <c r="G235" s="15">
        <v>99828.96</v>
      </c>
      <c r="I235" s="80"/>
    </row>
    <row r="236" spans="1:9" ht="19.5" thickBot="1" x14ac:dyDescent="0.35">
      <c r="A236" s="99" t="s">
        <v>246</v>
      </c>
      <c r="B236" s="100"/>
      <c r="C236" s="100"/>
      <c r="D236" s="100"/>
      <c r="E236" s="101"/>
      <c r="F236" s="107">
        <f>F109+G110+G111+G112+G113+G114+G115+G116+G117+G118+G119+G120+G121+G122+G123+G124+G125+G126+G127+G128+G129+G130+G131+G132+G133+G134+G135+G136+G137+G138+G139+G140+G141+G142+G143+G144+G145+G146+G147+G148+G149+G150+G151+G152+G164+G153+G154+G155+G156+G157+G158+G159+G160+G161+G162+G163+G164+G165+G166+G167+G168+G169+G170+G171+G172+G173+G174+G175+G176+G177+G178+G179+G180+G181+G182+G183+G184+G185+G186+G187+G188+G189+G190+G191+G192+G193+G194+G195+G196+G197++G198+G199+G200+G201+G202+G203+G204+G205+G206+G207+G208+G209+G210+G211+G212+G213+G214+G215+G216+G217+G218+G219+G220+G221+G222+G223+G224+G225+G226+G227+G228+G229+G230+G231+G232+G233+G234+G235</f>
        <v>21743755.439999998</v>
      </c>
      <c r="G236" s="111"/>
      <c r="I236" s="4"/>
    </row>
    <row r="237" spans="1:9" ht="16.5" thickBot="1" x14ac:dyDescent="0.3">
      <c r="A237" s="55" t="s">
        <v>16</v>
      </c>
      <c r="B237" s="23" t="s">
        <v>247</v>
      </c>
      <c r="C237" s="78"/>
      <c r="D237" s="21">
        <v>43809</v>
      </c>
      <c r="E237" s="13">
        <f t="shared" ref="E237:E286" si="16">(G237-I237)/1.19</f>
        <v>83858.823529411762</v>
      </c>
      <c r="F237" s="13">
        <f t="shared" ref="F237:F250" si="17">E237*0.19</f>
        <v>15933.176470588234</v>
      </c>
      <c r="G237" s="15">
        <v>99792</v>
      </c>
      <c r="I237" s="4"/>
    </row>
    <row r="238" spans="1:9" ht="16.5" thickBot="1" x14ac:dyDescent="0.3">
      <c r="A238" s="56" t="s">
        <v>16</v>
      </c>
      <c r="B238" s="36" t="s">
        <v>248</v>
      </c>
      <c r="C238" s="37"/>
      <c r="D238" s="38">
        <v>43809</v>
      </c>
      <c r="E238" s="39">
        <f t="shared" si="16"/>
        <v>80752.941176470587</v>
      </c>
      <c r="F238" s="39">
        <f t="shared" si="17"/>
        <v>15343.058823529413</v>
      </c>
      <c r="G238" s="40">
        <v>96096</v>
      </c>
      <c r="I238" s="4"/>
    </row>
    <row r="239" spans="1:9" ht="16.5" thickBot="1" x14ac:dyDescent="0.3">
      <c r="A239" s="55" t="s">
        <v>16</v>
      </c>
      <c r="B239" s="23" t="s">
        <v>249</v>
      </c>
      <c r="C239" s="8"/>
      <c r="D239" s="21">
        <v>43809</v>
      </c>
      <c r="E239" s="13">
        <f t="shared" si="16"/>
        <v>79200</v>
      </c>
      <c r="F239" s="13">
        <f t="shared" si="17"/>
        <v>15048</v>
      </c>
      <c r="G239" s="15">
        <v>94248</v>
      </c>
      <c r="I239" s="4"/>
    </row>
    <row r="240" spans="1:9" ht="16.5" thickBot="1" x14ac:dyDescent="0.3">
      <c r="A240" s="56" t="s">
        <v>16</v>
      </c>
      <c r="B240" s="36" t="s">
        <v>250</v>
      </c>
      <c r="C240" s="37"/>
      <c r="D240" s="38">
        <v>43809</v>
      </c>
      <c r="E240" s="39">
        <f t="shared" si="16"/>
        <v>83455.058823529413</v>
      </c>
      <c r="F240" s="39">
        <f t="shared" si="17"/>
        <v>15856.461176470588</v>
      </c>
      <c r="G240" s="40">
        <v>99311.52</v>
      </c>
      <c r="I240" s="4"/>
    </row>
    <row r="241" spans="1:9" ht="16.5" thickBot="1" x14ac:dyDescent="0.3">
      <c r="A241" s="55" t="s">
        <v>16</v>
      </c>
      <c r="B241" s="23" t="s">
        <v>251</v>
      </c>
      <c r="C241" s="8"/>
      <c r="D241" s="21">
        <v>43809</v>
      </c>
      <c r="E241" s="13">
        <f t="shared" si="16"/>
        <v>82041.882352941175</v>
      </c>
      <c r="F241" s="13">
        <f t="shared" si="17"/>
        <v>15587.957647058824</v>
      </c>
      <c r="G241" s="15">
        <v>97629.84</v>
      </c>
      <c r="I241" s="4"/>
    </row>
    <row r="242" spans="1:9" ht="16.5" thickBot="1" x14ac:dyDescent="0.3">
      <c r="A242" s="77" t="s">
        <v>30</v>
      </c>
      <c r="B242" s="36" t="s">
        <v>252</v>
      </c>
      <c r="C242" s="37"/>
      <c r="D242" s="38">
        <v>43810</v>
      </c>
      <c r="E242" s="39">
        <f t="shared" si="16"/>
        <v>82735.14285714287</v>
      </c>
      <c r="F242" s="39">
        <f t="shared" si="17"/>
        <v>15719.677142857145</v>
      </c>
      <c r="G242" s="40">
        <v>98454.82</v>
      </c>
      <c r="I242" s="4"/>
    </row>
    <row r="243" spans="1:9" ht="16.5" thickBot="1" x14ac:dyDescent="0.3">
      <c r="A243" s="20" t="s">
        <v>30</v>
      </c>
      <c r="B243" s="23" t="s">
        <v>253</v>
      </c>
      <c r="C243" s="8"/>
      <c r="D243" s="21">
        <v>43810</v>
      </c>
      <c r="E243" s="13">
        <f t="shared" si="16"/>
        <v>81015.126050420178</v>
      </c>
      <c r="F243" s="13">
        <f t="shared" si="17"/>
        <v>15392.873949579835</v>
      </c>
      <c r="G243" s="15">
        <v>96408</v>
      </c>
      <c r="I243" s="4"/>
    </row>
    <row r="244" spans="1:9" ht="16.5" thickBot="1" x14ac:dyDescent="0.3">
      <c r="A244" s="35" t="s">
        <v>30</v>
      </c>
      <c r="B244" s="36" t="s">
        <v>255</v>
      </c>
      <c r="C244" s="37"/>
      <c r="D244" s="38">
        <v>43810</v>
      </c>
      <c r="E244" s="39">
        <f t="shared" si="16"/>
        <v>81314.26050420168</v>
      </c>
      <c r="F244" s="39">
        <f t="shared" si="17"/>
        <v>15449.709495798319</v>
      </c>
      <c r="G244" s="40">
        <v>96763.97</v>
      </c>
      <c r="I244" s="4"/>
    </row>
    <row r="245" spans="1:9" ht="16.5" thickBot="1" x14ac:dyDescent="0.3">
      <c r="A245" s="20" t="s">
        <v>31</v>
      </c>
      <c r="B245" s="23" t="s">
        <v>254</v>
      </c>
      <c r="C245" s="8"/>
      <c r="D245" s="21">
        <v>43810</v>
      </c>
      <c r="E245" s="13">
        <f t="shared" si="16"/>
        <v>83314.285714285725</v>
      </c>
      <c r="F245" s="13">
        <f t="shared" si="17"/>
        <v>15829.714285714288</v>
      </c>
      <c r="G245" s="15">
        <v>99144</v>
      </c>
      <c r="I245" s="4"/>
    </row>
    <row r="246" spans="1:9" ht="16.5" thickBot="1" x14ac:dyDescent="0.3">
      <c r="A246" s="20" t="s">
        <v>31</v>
      </c>
      <c r="B246" s="23" t="s">
        <v>256</v>
      </c>
      <c r="C246" s="8"/>
      <c r="D246" s="21">
        <v>43810</v>
      </c>
      <c r="E246" s="13">
        <f t="shared" si="16"/>
        <v>81121.159663865546</v>
      </c>
      <c r="F246" s="13">
        <f t="shared" si="17"/>
        <v>15413.020336134454</v>
      </c>
      <c r="G246" s="15">
        <v>96534.18</v>
      </c>
      <c r="I246" s="4"/>
    </row>
    <row r="247" spans="1:9" ht="16.5" thickBot="1" x14ac:dyDescent="0.3">
      <c r="A247" s="20" t="s">
        <v>32</v>
      </c>
      <c r="B247" s="23" t="s">
        <v>257</v>
      </c>
      <c r="C247" s="8"/>
      <c r="D247" s="21">
        <v>43810</v>
      </c>
      <c r="E247" s="13">
        <f t="shared" si="16"/>
        <v>79369.109243697487</v>
      </c>
      <c r="F247" s="13">
        <f t="shared" si="17"/>
        <v>15080.130756302522</v>
      </c>
      <c r="G247" s="15">
        <v>94449.24</v>
      </c>
      <c r="I247" s="4"/>
    </row>
    <row r="248" spans="1:9" ht="16.5" thickBot="1" x14ac:dyDescent="0.3">
      <c r="A248" s="35" t="s">
        <v>31</v>
      </c>
      <c r="B248" s="36" t="s">
        <v>258</v>
      </c>
      <c r="C248" s="37"/>
      <c r="D248" s="38">
        <v>43811</v>
      </c>
      <c r="E248" s="39">
        <f t="shared" si="16"/>
        <v>81648</v>
      </c>
      <c r="F248" s="39">
        <f t="shared" si="17"/>
        <v>15513.12</v>
      </c>
      <c r="G248" s="40">
        <v>97161.12</v>
      </c>
      <c r="I248" s="4"/>
    </row>
    <row r="249" spans="1:9" ht="16.5" thickBot="1" x14ac:dyDescent="0.3">
      <c r="A249" s="20" t="s">
        <v>31</v>
      </c>
      <c r="B249" s="23" t="s">
        <v>259</v>
      </c>
      <c r="C249" s="8"/>
      <c r="D249" s="21">
        <v>43811</v>
      </c>
      <c r="E249" s="13">
        <f t="shared" si="16"/>
        <v>82370.873949579836</v>
      </c>
      <c r="F249" s="13">
        <f t="shared" si="17"/>
        <v>15650.466050420169</v>
      </c>
      <c r="G249" s="15">
        <v>98021.34</v>
      </c>
      <c r="I249" s="4"/>
    </row>
    <row r="250" spans="1:9" ht="16.5" thickBot="1" x14ac:dyDescent="0.3">
      <c r="A250" s="35" t="s">
        <v>30</v>
      </c>
      <c r="B250" s="36" t="s">
        <v>260</v>
      </c>
      <c r="C250" s="37"/>
      <c r="D250" s="38">
        <v>43811</v>
      </c>
      <c r="E250" s="39">
        <f t="shared" si="16"/>
        <v>83607.613445378156</v>
      </c>
      <c r="F250" s="39">
        <f t="shared" si="17"/>
        <v>15885.446554621851</v>
      </c>
      <c r="G250" s="40">
        <v>99493.06</v>
      </c>
      <c r="I250" s="4"/>
    </row>
    <row r="251" spans="1:9" ht="16.5" thickBot="1" x14ac:dyDescent="0.3">
      <c r="A251" s="20" t="s">
        <v>30</v>
      </c>
      <c r="B251" s="23" t="s">
        <v>261</v>
      </c>
      <c r="C251" s="8"/>
      <c r="D251" s="21">
        <v>43811</v>
      </c>
      <c r="E251" s="13">
        <f t="shared" si="16"/>
        <v>83183.840336134468</v>
      </c>
      <c r="F251" s="13">
        <f t="shared" ref="F251:F282" si="18">E251*0.19</f>
        <v>15804.929663865549</v>
      </c>
      <c r="G251" s="15">
        <v>98988.77</v>
      </c>
      <c r="I251" s="4"/>
    </row>
    <row r="252" spans="1:9" ht="16.5" thickBot="1" x14ac:dyDescent="0.3">
      <c r="A252" s="35" t="s">
        <v>16</v>
      </c>
      <c r="B252" s="36" t="s">
        <v>262</v>
      </c>
      <c r="C252" s="37"/>
      <c r="D252" s="38">
        <v>43811</v>
      </c>
      <c r="E252" s="39">
        <f t="shared" si="16"/>
        <v>82492.23529411765</v>
      </c>
      <c r="F252" s="39">
        <f t="shared" si="18"/>
        <v>15673.524705882353</v>
      </c>
      <c r="G252" s="40">
        <v>98165.759999999995</v>
      </c>
      <c r="I252" s="4"/>
    </row>
    <row r="253" spans="1:9" ht="16.5" thickBot="1" x14ac:dyDescent="0.3">
      <c r="A253" s="20" t="s">
        <v>16</v>
      </c>
      <c r="B253" s="23" t="s">
        <v>263</v>
      </c>
      <c r="C253" s="8"/>
      <c r="D253" s="21">
        <v>43814</v>
      </c>
      <c r="E253" s="13">
        <f t="shared" si="16"/>
        <v>82600.941176470587</v>
      </c>
      <c r="F253" s="13">
        <f t="shared" si="18"/>
        <v>15694.178823529412</v>
      </c>
      <c r="G253" s="15">
        <v>98295.12</v>
      </c>
      <c r="I253" s="4"/>
    </row>
    <row r="254" spans="1:9" ht="16.5" thickBot="1" x14ac:dyDescent="0.3">
      <c r="A254" s="35" t="s">
        <v>16</v>
      </c>
      <c r="B254" s="36" t="s">
        <v>264</v>
      </c>
      <c r="C254" s="37"/>
      <c r="D254" s="38">
        <v>43814</v>
      </c>
      <c r="E254" s="39">
        <f t="shared" si="16"/>
        <v>82507.764705882364</v>
      </c>
      <c r="F254" s="39">
        <f t="shared" si="18"/>
        <v>15676.47529411765</v>
      </c>
      <c r="G254" s="40">
        <v>98184.24</v>
      </c>
      <c r="I254" s="4"/>
    </row>
    <row r="255" spans="1:9" ht="16.5" thickBot="1" x14ac:dyDescent="0.3">
      <c r="A255" s="20" t="s">
        <v>16</v>
      </c>
      <c r="B255" s="23" t="s">
        <v>265</v>
      </c>
      <c r="C255" s="8"/>
      <c r="D255" s="21">
        <v>43814</v>
      </c>
      <c r="E255" s="13">
        <f t="shared" si="16"/>
        <v>81731.294117647063</v>
      </c>
      <c r="F255" s="13">
        <f t="shared" si="18"/>
        <v>15528.945882352942</v>
      </c>
      <c r="G255" s="15">
        <v>97260.24</v>
      </c>
      <c r="I255" s="4"/>
    </row>
    <row r="256" spans="1:9" ht="16.5" thickBot="1" x14ac:dyDescent="0.3">
      <c r="A256" s="35" t="s">
        <v>16</v>
      </c>
      <c r="B256" s="36" t="s">
        <v>266</v>
      </c>
      <c r="C256" s="37"/>
      <c r="D256" s="38">
        <v>43814</v>
      </c>
      <c r="E256" s="39">
        <f t="shared" si="16"/>
        <v>83594.823529411762</v>
      </c>
      <c r="F256" s="39">
        <f t="shared" si="18"/>
        <v>15883.016470588234</v>
      </c>
      <c r="G256" s="40">
        <v>99477.84</v>
      </c>
      <c r="I256" s="4"/>
    </row>
    <row r="257" spans="1:9" ht="16.5" thickBot="1" x14ac:dyDescent="0.3">
      <c r="A257" s="20" t="s">
        <v>16</v>
      </c>
      <c r="B257" s="23" t="s">
        <v>267</v>
      </c>
      <c r="C257" s="8"/>
      <c r="D257" s="21">
        <v>43814</v>
      </c>
      <c r="E257" s="13">
        <f t="shared" si="16"/>
        <v>82973.647058823539</v>
      </c>
      <c r="F257" s="13">
        <f t="shared" si="18"/>
        <v>15764.992941176473</v>
      </c>
      <c r="G257" s="15">
        <v>98738.64</v>
      </c>
      <c r="I257" s="4"/>
    </row>
    <row r="258" spans="1:9" ht="16.5" thickBot="1" x14ac:dyDescent="0.3">
      <c r="A258" s="35" t="s">
        <v>16</v>
      </c>
      <c r="B258" s="36" t="s">
        <v>268</v>
      </c>
      <c r="C258" s="37"/>
      <c r="D258" s="38">
        <v>43814</v>
      </c>
      <c r="E258" s="39">
        <f t="shared" si="16"/>
        <v>82476.705882352937</v>
      </c>
      <c r="F258" s="39">
        <f t="shared" si="18"/>
        <v>15670.574117647058</v>
      </c>
      <c r="G258" s="40">
        <v>98147.28</v>
      </c>
      <c r="I258" s="4"/>
    </row>
    <row r="259" spans="1:9" ht="16.5" thickBot="1" x14ac:dyDescent="0.3">
      <c r="A259" s="57" t="s">
        <v>16</v>
      </c>
      <c r="B259" s="23" t="s">
        <v>269</v>
      </c>
      <c r="C259" s="8"/>
      <c r="D259" s="21">
        <v>43815</v>
      </c>
      <c r="E259" s="13">
        <f t="shared" si="16"/>
        <v>82942.588235294112</v>
      </c>
      <c r="F259" s="13">
        <f t="shared" si="18"/>
        <v>15759.091764705881</v>
      </c>
      <c r="G259" s="15">
        <v>98701.68</v>
      </c>
      <c r="I259" s="4"/>
    </row>
    <row r="260" spans="1:9" ht="16.5" thickBot="1" x14ac:dyDescent="0.3">
      <c r="A260" s="35" t="s">
        <v>16</v>
      </c>
      <c r="B260" s="36" t="s">
        <v>270</v>
      </c>
      <c r="C260" s="37"/>
      <c r="D260" s="38">
        <v>43815</v>
      </c>
      <c r="E260" s="39">
        <f t="shared" si="16"/>
        <v>83610.352941176476</v>
      </c>
      <c r="F260" s="39">
        <f t="shared" si="18"/>
        <v>15885.967058823531</v>
      </c>
      <c r="G260" s="40">
        <v>99496.320000000007</v>
      </c>
      <c r="I260" s="4"/>
    </row>
    <row r="261" spans="1:9" ht="16.5" thickBot="1" x14ac:dyDescent="0.3">
      <c r="A261" s="20" t="s">
        <v>16</v>
      </c>
      <c r="B261" s="23" t="s">
        <v>271</v>
      </c>
      <c r="C261" s="8"/>
      <c r="D261" s="21">
        <v>43815</v>
      </c>
      <c r="E261" s="13">
        <f t="shared" si="16"/>
        <v>82228.23529411765</v>
      </c>
      <c r="F261" s="13">
        <f t="shared" si="18"/>
        <v>15623.364705882354</v>
      </c>
      <c r="G261" s="15">
        <v>97851.6</v>
      </c>
      <c r="I261" s="4"/>
    </row>
    <row r="262" spans="1:9" ht="16.5" thickBot="1" x14ac:dyDescent="0.3">
      <c r="A262" s="35" t="s">
        <v>16</v>
      </c>
      <c r="B262" s="36" t="s">
        <v>272</v>
      </c>
      <c r="C262" s="37"/>
      <c r="D262" s="38">
        <v>43816</v>
      </c>
      <c r="E262" s="39">
        <f t="shared" si="16"/>
        <v>81405.176470588238</v>
      </c>
      <c r="F262" s="39">
        <f t="shared" si="18"/>
        <v>15466.983529411766</v>
      </c>
      <c r="G262" s="40">
        <v>96872.16</v>
      </c>
      <c r="I262" s="4"/>
    </row>
    <row r="263" spans="1:9" ht="16.5" thickBot="1" x14ac:dyDescent="0.3">
      <c r="A263" s="20" t="s">
        <v>16</v>
      </c>
      <c r="B263" s="23" t="s">
        <v>273</v>
      </c>
      <c r="C263" s="8"/>
      <c r="D263" s="21">
        <v>43816</v>
      </c>
      <c r="E263" s="13">
        <f t="shared" si="16"/>
        <v>83765.647058823524</v>
      </c>
      <c r="F263" s="13">
        <f t="shared" si="18"/>
        <v>15915.472941176469</v>
      </c>
      <c r="G263" s="15">
        <v>99681.12</v>
      </c>
      <c r="I263" s="4"/>
    </row>
    <row r="264" spans="1:9" ht="16.5" thickBot="1" x14ac:dyDescent="0.3">
      <c r="A264" s="35" t="s">
        <v>16</v>
      </c>
      <c r="B264" s="36" t="s">
        <v>274</v>
      </c>
      <c r="C264" s="37"/>
      <c r="D264" s="38">
        <v>43816</v>
      </c>
      <c r="E264" s="39">
        <f t="shared" si="16"/>
        <v>83656.941176470587</v>
      </c>
      <c r="F264" s="39">
        <f t="shared" si="18"/>
        <v>15894.818823529411</v>
      </c>
      <c r="G264" s="40">
        <v>99551.76</v>
      </c>
      <c r="I264" s="4"/>
    </row>
    <row r="265" spans="1:9" ht="16.5" thickBot="1" x14ac:dyDescent="0.3">
      <c r="A265" s="20" t="s">
        <v>16</v>
      </c>
      <c r="B265" s="23" t="s">
        <v>275</v>
      </c>
      <c r="C265" s="8"/>
      <c r="D265" s="21">
        <v>43816</v>
      </c>
      <c r="E265" s="13">
        <f t="shared" si="16"/>
        <v>83346.352941176476</v>
      </c>
      <c r="F265" s="13">
        <f t="shared" si="18"/>
        <v>15835.807058823531</v>
      </c>
      <c r="G265" s="15">
        <v>99182.16</v>
      </c>
      <c r="I265" s="4"/>
    </row>
    <row r="266" spans="1:9" ht="16.5" thickBot="1" x14ac:dyDescent="0.3">
      <c r="A266" s="35" t="s">
        <v>85</v>
      </c>
      <c r="B266" s="36" t="s">
        <v>276</v>
      </c>
      <c r="C266" s="37"/>
      <c r="D266" s="38">
        <v>43816</v>
      </c>
      <c r="E266" s="39">
        <f t="shared" si="16"/>
        <v>82880.470588235286</v>
      </c>
      <c r="F266" s="39">
        <f t="shared" si="18"/>
        <v>15747.289411764705</v>
      </c>
      <c r="G266" s="40">
        <v>98627.76</v>
      </c>
      <c r="I266" s="4"/>
    </row>
    <row r="267" spans="1:9" ht="16.5" thickBot="1" x14ac:dyDescent="0.3">
      <c r="A267" s="20" t="s">
        <v>16</v>
      </c>
      <c r="B267" s="23" t="s">
        <v>277</v>
      </c>
      <c r="C267" s="8"/>
      <c r="D267" s="21">
        <v>43817</v>
      </c>
      <c r="E267" s="13">
        <f t="shared" si="16"/>
        <v>83796.705882352951</v>
      </c>
      <c r="F267" s="13">
        <f t="shared" si="18"/>
        <v>15921.374117647061</v>
      </c>
      <c r="G267" s="15">
        <v>99718.080000000002</v>
      </c>
      <c r="I267" s="4"/>
    </row>
    <row r="268" spans="1:9" ht="16.5" thickBot="1" x14ac:dyDescent="0.3">
      <c r="A268" s="35" t="s">
        <v>16</v>
      </c>
      <c r="B268" s="36" t="s">
        <v>278</v>
      </c>
      <c r="C268" s="37"/>
      <c r="D268" s="38">
        <v>43817</v>
      </c>
      <c r="E268" s="39">
        <f t="shared" si="16"/>
        <v>83843.294117647063</v>
      </c>
      <c r="F268" s="39">
        <f t="shared" si="18"/>
        <v>15930.225882352943</v>
      </c>
      <c r="G268" s="40">
        <v>99773.52</v>
      </c>
      <c r="I268" s="4"/>
    </row>
    <row r="269" spans="1:9" ht="16.5" thickBot="1" x14ac:dyDescent="0.3">
      <c r="A269" s="20" t="s">
        <v>16</v>
      </c>
      <c r="B269" s="23" t="s">
        <v>279</v>
      </c>
      <c r="C269" s="8"/>
      <c r="D269" s="21">
        <v>43817</v>
      </c>
      <c r="E269" s="13">
        <f t="shared" si="16"/>
        <v>83750.117647058825</v>
      </c>
      <c r="F269" s="13">
        <f t="shared" si="18"/>
        <v>15912.522352941178</v>
      </c>
      <c r="G269" s="15">
        <v>99662.64</v>
      </c>
      <c r="I269" s="4"/>
    </row>
    <row r="270" spans="1:9" ht="16.5" thickBot="1" x14ac:dyDescent="0.3">
      <c r="A270" s="20" t="s">
        <v>16</v>
      </c>
      <c r="B270" s="23" t="s">
        <v>280</v>
      </c>
      <c r="C270" s="8"/>
      <c r="D270" s="21">
        <v>43817</v>
      </c>
      <c r="E270" s="13">
        <f t="shared" si="16"/>
        <v>82274.823529411762</v>
      </c>
      <c r="F270" s="13">
        <f t="shared" si="18"/>
        <v>15632.216470588235</v>
      </c>
      <c r="G270" s="15">
        <v>97907.04</v>
      </c>
      <c r="I270" s="4"/>
    </row>
    <row r="271" spans="1:9" ht="16.5" thickBot="1" x14ac:dyDescent="0.3">
      <c r="A271" s="20" t="s">
        <v>16</v>
      </c>
      <c r="B271" s="23" t="s">
        <v>281</v>
      </c>
      <c r="C271" s="8"/>
      <c r="D271" s="21">
        <v>43818</v>
      </c>
      <c r="E271" s="13">
        <f t="shared" si="16"/>
        <v>83858.823529411762</v>
      </c>
      <c r="F271" s="13">
        <f t="shared" si="18"/>
        <v>15933.176470588234</v>
      </c>
      <c r="G271" s="15">
        <v>99792</v>
      </c>
      <c r="I271" s="4"/>
    </row>
    <row r="272" spans="1:9" ht="16.5" thickBot="1" x14ac:dyDescent="0.3">
      <c r="A272" s="75" t="s">
        <v>16</v>
      </c>
      <c r="B272" s="63" t="s">
        <v>282</v>
      </c>
      <c r="C272" s="64"/>
      <c r="D272" s="29">
        <v>43818</v>
      </c>
      <c r="E272" s="67">
        <f t="shared" si="16"/>
        <v>83889.882352941189</v>
      </c>
      <c r="F272" s="67">
        <f t="shared" si="18"/>
        <v>15939.077647058826</v>
      </c>
      <c r="G272" s="68">
        <v>99828.96</v>
      </c>
      <c r="I272" s="4"/>
    </row>
    <row r="273" spans="1:9" ht="16.5" thickBot="1" x14ac:dyDescent="0.3">
      <c r="A273" s="20" t="s">
        <v>31</v>
      </c>
      <c r="B273" s="23" t="s">
        <v>283</v>
      </c>
      <c r="C273" s="8"/>
      <c r="D273" s="69">
        <v>43818</v>
      </c>
      <c r="E273" s="13">
        <f t="shared" si="16"/>
        <v>83314.285714285725</v>
      </c>
      <c r="F273" s="13">
        <f t="shared" si="18"/>
        <v>15829.714285714288</v>
      </c>
      <c r="G273" s="15">
        <v>99144</v>
      </c>
      <c r="I273" s="4"/>
    </row>
    <row r="274" spans="1:9" ht="16.5" thickBot="1" x14ac:dyDescent="0.3">
      <c r="A274" s="44" t="s">
        <v>31</v>
      </c>
      <c r="B274" s="45" t="s">
        <v>284</v>
      </c>
      <c r="C274" s="46"/>
      <c r="D274" s="69">
        <v>43818</v>
      </c>
      <c r="E274" s="13">
        <f t="shared" si="16"/>
        <v>83106</v>
      </c>
      <c r="F274" s="47">
        <f t="shared" si="18"/>
        <v>15790.14</v>
      </c>
      <c r="G274" s="15">
        <v>98896.14</v>
      </c>
      <c r="I274" s="4"/>
    </row>
    <row r="275" spans="1:9" ht="16.5" thickBot="1" x14ac:dyDescent="0.3">
      <c r="A275" s="20" t="s">
        <v>31</v>
      </c>
      <c r="B275" s="23" t="s">
        <v>285</v>
      </c>
      <c r="C275" s="8"/>
      <c r="D275" s="69">
        <v>43821</v>
      </c>
      <c r="E275" s="13">
        <f t="shared" si="16"/>
        <v>83926.890756302528</v>
      </c>
      <c r="F275" s="13">
        <f t="shared" si="18"/>
        <v>15946.109243697481</v>
      </c>
      <c r="G275" s="15">
        <v>99873</v>
      </c>
      <c r="I275" s="4"/>
    </row>
    <row r="276" spans="1:9" ht="16.5" thickBot="1" x14ac:dyDescent="0.3">
      <c r="A276" s="35" t="s">
        <v>31</v>
      </c>
      <c r="B276" s="36" t="s">
        <v>286</v>
      </c>
      <c r="C276" s="37"/>
      <c r="D276" s="70">
        <v>43821</v>
      </c>
      <c r="E276" s="39">
        <f t="shared" si="16"/>
        <v>83461.310924369755</v>
      </c>
      <c r="F276" s="39">
        <f t="shared" si="18"/>
        <v>15857.649075630254</v>
      </c>
      <c r="G276" s="40">
        <v>99318.96</v>
      </c>
      <c r="I276" s="4"/>
    </row>
    <row r="277" spans="1:9" ht="16.5" thickBot="1" x14ac:dyDescent="0.3">
      <c r="A277" s="20" t="s">
        <v>31</v>
      </c>
      <c r="B277" s="23" t="s">
        <v>287</v>
      </c>
      <c r="C277" s="8"/>
      <c r="D277" s="69">
        <v>43821</v>
      </c>
      <c r="E277" s="13">
        <f t="shared" si="16"/>
        <v>83424.554621848743</v>
      </c>
      <c r="F277" s="13">
        <f t="shared" si="18"/>
        <v>15850.665378151261</v>
      </c>
      <c r="G277" s="15">
        <v>99275.22</v>
      </c>
      <c r="I277" s="4"/>
    </row>
    <row r="278" spans="1:9" ht="16.5" thickBot="1" x14ac:dyDescent="0.3">
      <c r="A278" s="35" t="s">
        <v>31</v>
      </c>
      <c r="B278" s="36" t="s">
        <v>288</v>
      </c>
      <c r="C278" s="37"/>
      <c r="D278" s="70">
        <v>43821</v>
      </c>
      <c r="E278" s="39">
        <f t="shared" si="16"/>
        <v>83338.789915966394</v>
      </c>
      <c r="F278" s="39">
        <f t="shared" si="18"/>
        <v>15834.370084033615</v>
      </c>
      <c r="G278" s="40">
        <v>99173.16</v>
      </c>
      <c r="I278" s="4"/>
    </row>
    <row r="279" spans="1:9" ht="16.5" thickBot="1" x14ac:dyDescent="0.3">
      <c r="A279" s="20" t="s">
        <v>31</v>
      </c>
      <c r="B279" s="23" t="s">
        <v>289</v>
      </c>
      <c r="C279" s="8"/>
      <c r="D279" s="69">
        <v>43822</v>
      </c>
      <c r="E279" s="13">
        <f t="shared" si="16"/>
        <v>83326.537815126052</v>
      </c>
      <c r="F279" s="13">
        <f t="shared" si="18"/>
        <v>15832.04218487395</v>
      </c>
      <c r="G279" s="15">
        <v>99158.58</v>
      </c>
      <c r="I279" s="4"/>
    </row>
    <row r="280" spans="1:9" ht="16.5" thickBot="1" x14ac:dyDescent="0.3">
      <c r="A280" s="20" t="s">
        <v>31</v>
      </c>
      <c r="B280" s="23" t="s">
        <v>290</v>
      </c>
      <c r="C280" s="8"/>
      <c r="D280" s="69">
        <v>43822</v>
      </c>
      <c r="E280" s="13">
        <f t="shared" si="16"/>
        <v>83081.495798319331</v>
      </c>
      <c r="F280" s="13">
        <f t="shared" si="18"/>
        <v>15785.484201680672</v>
      </c>
      <c r="G280" s="15">
        <v>98866.98</v>
      </c>
      <c r="I280" s="4"/>
    </row>
    <row r="281" spans="1:9" ht="16.5" thickBot="1" x14ac:dyDescent="0.3">
      <c r="A281" s="35" t="s">
        <v>31</v>
      </c>
      <c r="B281" s="36" t="s">
        <v>291</v>
      </c>
      <c r="C281" s="37"/>
      <c r="D281" s="70">
        <v>43822</v>
      </c>
      <c r="E281" s="39">
        <f t="shared" si="16"/>
        <v>80631.075630252104</v>
      </c>
      <c r="F281" s="39">
        <f t="shared" si="18"/>
        <v>15319.904369747899</v>
      </c>
      <c r="G281" s="40">
        <v>95950.98</v>
      </c>
      <c r="I281" s="4"/>
    </row>
    <row r="282" spans="1:9" ht="16.5" thickBot="1" x14ac:dyDescent="0.3">
      <c r="A282" s="20" t="s">
        <v>31</v>
      </c>
      <c r="B282" s="23" t="s">
        <v>292</v>
      </c>
      <c r="C282" s="8"/>
      <c r="D282" s="69">
        <v>43822</v>
      </c>
      <c r="E282" s="13">
        <f t="shared" si="16"/>
        <v>81243.680672268907</v>
      </c>
      <c r="F282" s="13">
        <f t="shared" si="18"/>
        <v>15436.299327731092</v>
      </c>
      <c r="G282" s="15">
        <v>96679.98</v>
      </c>
      <c r="I282" s="4"/>
    </row>
    <row r="283" spans="1:9" ht="16.5" thickBot="1" x14ac:dyDescent="0.3">
      <c r="A283" s="35" t="s">
        <v>30</v>
      </c>
      <c r="B283" s="36" t="s">
        <v>293</v>
      </c>
      <c r="C283" s="37"/>
      <c r="D283" s="70">
        <v>43823</v>
      </c>
      <c r="E283" s="39">
        <f t="shared" si="16"/>
        <v>82448.470588235286</v>
      </c>
      <c r="F283" s="39">
        <f t="shared" ref="F283:F309" si="19">E283*0.19</f>
        <v>15665.209411764705</v>
      </c>
      <c r="G283" s="40">
        <v>98113.68</v>
      </c>
      <c r="I283" s="4"/>
    </row>
    <row r="284" spans="1:9" ht="16.5" thickBot="1" x14ac:dyDescent="0.3">
      <c r="A284" s="20" t="s">
        <v>30</v>
      </c>
      <c r="B284" s="23" t="s">
        <v>294</v>
      </c>
      <c r="C284" s="8"/>
      <c r="D284" s="69">
        <v>43823</v>
      </c>
      <c r="E284" s="13">
        <f t="shared" si="16"/>
        <v>82498.327731092431</v>
      </c>
      <c r="F284" s="13">
        <f t="shared" si="19"/>
        <v>15674.682268907562</v>
      </c>
      <c r="G284" s="15">
        <v>98173.01</v>
      </c>
      <c r="I284" s="4"/>
    </row>
    <row r="285" spans="1:9" ht="16.5" thickBot="1" x14ac:dyDescent="0.3">
      <c r="A285" s="35" t="s">
        <v>30</v>
      </c>
      <c r="B285" s="36" t="s">
        <v>295</v>
      </c>
      <c r="C285" s="37"/>
      <c r="D285" s="70">
        <v>43823</v>
      </c>
      <c r="E285" s="39">
        <f t="shared" si="16"/>
        <v>82610.504201680669</v>
      </c>
      <c r="F285" s="39">
        <f t="shared" si="19"/>
        <v>15695.995798319327</v>
      </c>
      <c r="G285" s="40">
        <v>98306.5</v>
      </c>
      <c r="I285" s="4"/>
    </row>
    <row r="286" spans="1:9" ht="16.5" thickBot="1" x14ac:dyDescent="0.3">
      <c r="A286" s="20" t="s">
        <v>30</v>
      </c>
      <c r="B286" s="23" t="s">
        <v>296</v>
      </c>
      <c r="C286" s="8"/>
      <c r="D286" s="69">
        <v>43823</v>
      </c>
      <c r="E286" s="13">
        <f t="shared" si="16"/>
        <v>82722.672268907569</v>
      </c>
      <c r="F286" s="13">
        <f t="shared" si="19"/>
        <v>15717.307731092438</v>
      </c>
      <c r="G286" s="15">
        <v>98439.98</v>
      </c>
      <c r="I286" s="4"/>
    </row>
    <row r="287" spans="1:9" ht="16.5" thickBot="1" x14ac:dyDescent="0.3">
      <c r="A287" s="55" t="s">
        <v>16</v>
      </c>
      <c r="B287" s="23" t="s">
        <v>297</v>
      </c>
      <c r="C287" s="8"/>
      <c r="D287" s="69">
        <v>43823</v>
      </c>
      <c r="E287" s="47">
        <f t="shared" ref="E287:E309" si="20">(G287-I287)/1.19</f>
        <v>78609.882352941175</v>
      </c>
      <c r="F287" s="13">
        <f t="shared" si="19"/>
        <v>14935.877647058824</v>
      </c>
      <c r="G287" s="72">
        <v>93545.76</v>
      </c>
    </row>
    <row r="288" spans="1:9" ht="16.5" thickBot="1" x14ac:dyDescent="0.3">
      <c r="A288" s="56" t="s">
        <v>16</v>
      </c>
      <c r="B288" s="36" t="s">
        <v>298</v>
      </c>
      <c r="C288" s="37"/>
      <c r="D288" s="70">
        <v>43823</v>
      </c>
      <c r="E288" s="52">
        <f t="shared" si="20"/>
        <v>83284.23529411765</v>
      </c>
      <c r="F288" s="39">
        <f t="shared" si="19"/>
        <v>15824.004705882353</v>
      </c>
      <c r="G288" s="73">
        <v>99108.24</v>
      </c>
    </row>
    <row r="289" spans="1:7" ht="16.5" thickBot="1" x14ac:dyDescent="0.3">
      <c r="A289" s="55" t="s">
        <v>16</v>
      </c>
      <c r="B289" s="23" t="s">
        <v>299</v>
      </c>
      <c r="C289" s="8"/>
      <c r="D289" s="69">
        <v>43823</v>
      </c>
      <c r="E289" s="47">
        <f t="shared" si="20"/>
        <v>83439.529411764699</v>
      </c>
      <c r="F289" s="13">
        <f t="shared" si="19"/>
        <v>15853.510588235293</v>
      </c>
      <c r="G289" s="72">
        <v>99293.04</v>
      </c>
    </row>
    <row r="290" spans="1:7" ht="16.5" thickBot="1" x14ac:dyDescent="0.3">
      <c r="A290" s="56" t="s">
        <v>16</v>
      </c>
      <c r="B290" s="36" t="s">
        <v>300</v>
      </c>
      <c r="C290" s="37"/>
      <c r="D290" s="70">
        <v>43823</v>
      </c>
      <c r="E290" s="52">
        <f t="shared" si="20"/>
        <v>83486.117647058825</v>
      </c>
      <c r="F290" s="39">
        <f t="shared" si="19"/>
        <v>15862.362352941176</v>
      </c>
      <c r="G290" s="73">
        <v>99348.479999999996</v>
      </c>
    </row>
    <row r="291" spans="1:7" ht="16.5" thickBot="1" x14ac:dyDescent="0.3">
      <c r="A291" s="55" t="s">
        <v>16</v>
      </c>
      <c r="B291" s="23" t="s">
        <v>301</v>
      </c>
      <c r="C291" s="8"/>
      <c r="D291" s="69">
        <v>43823</v>
      </c>
      <c r="E291" s="47">
        <f t="shared" si="20"/>
        <v>83408.470588235301</v>
      </c>
      <c r="F291" s="13">
        <f t="shared" si="19"/>
        <v>15847.609411764708</v>
      </c>
      <c r="G291" s="72">
        <v>99256.08</v>
      </c>
    </row>
    <row r="292" spans="1:7" ht="16.5" thickBot="1" x14ac:dyDescent="0.3">
      <c r="A292" s="56" t="s">
        <v>16</v>
      </c>
      <c r="B292" s="36" t="s">
        <v>302</v>
      </c>
      <c r="C292" s="37"/>
      <c r="D292" s="70">
        <v>43823</v>
      </c>
      <c r="E292" s="52">
        <f t="shared" si="20"/>
        <v>83361.882352941175</v>
      </c>
      <c r="F292" s="39">
        <f t="shared" si="19"/>
        <v>15838.757647058823</v>
      </c>
      <c r="G292" s="73">
        <v>99200.639999999999</v>
      </c>
    </row>
    <row r="293" spans="1:7" ht="16.5" thickBot="1" x14ac:dyDescent="0.3">
      <c r="A293" s="55" t="s">
        <v>16</v>
      </c>
      <c r="B293" s="23" t="s">
        <v>303</v>
      </c>
      <c r="C293" s="8"/>
      <c r="D293" s="69">
        <v>43823</v>
      </c>
      <c r="E293" s="47">
        <f t="shared" si="20"/>
        <v>83222.11764705884</v>
      </c>
      <c r="F293" s="13">
        <f t="shared" si="19"/>
        <v>15812.20235294118</v>
      </c>
      <c r="G293" s="72">
        <v>99034.32</v>
      </c>
    </row>
    <row r="294" spans="1:7" ht="16.5" thickBot="1" x14ac:dyDescent="0.3">
      <c r="A294" s="62" t="s">
        <v>16</v>
      </c>
      <c r="B294" s="63" t="s">
        <v>304</v>
      </c>
      <c r="C294" s="64"/>
      <c r="D294" s="65">
        <v>43823</v>
      </c>
      <c r="E294" s="66">
        <f t="shared" si="20"/>
        <v>82911.529411764714</v>
      </c>
      <c r="F294" s="67">
        <f t="shared" si="19"/>
        <v>15753.190588235297</v>
      </c>
      <c r="G294" s="74">
        <v>98664.72</v>
      </c>
    </row>
    <row r="295" spans="1:7" ht="16.5" thickBot="1" x14ac:dyDescent="0.3">
      <c r="A295" s="55" t="s">
        <v>16</v>
      </c>
      <c r="B295" s="23" t="s">
        <v>305</v>
      </c>
      <c r="C295" s="8"/>
      <c r="D295" s="69">
        <v>43824</v>
      </c>
      <c r="E295" s="47">
        <f t="shared" si="20"/>
        <v>82756.23529411765</v>
      </c>
      <c r="F295" s="13">
        <f t="shared" si="19"/>
        <v>15723.684705882353</v>
      </c>
      <c r="G295" s="72">
        <v>98479.92</v>
      </c>
    </row>
    <row r="296" spans="1:7" ht="16.5" thickBot="1" x14ac:dyDescent="0.3">
      <c r="A296" s="56" t="s">
        <v>16</v>
      </c>
      <c r="B296" s="36" t="s">
        <v>306</v>
      </c>
      <c r="C296" s="37"/>
      <c r="D296" s="70">
        <v>43824</v>
      </c>
      <c r="E296" s="52">
        <f t="shared" si="20"/>
        <v>82632</v>
      </c>
      <c r="F296" s="39">
        <f t="shared" si="19"/>
        <v>15700.08</v>
      </c>
      <c r="G296" s="73">
        <v>98332.08</v>
      </c>
    </row>
    <row r="297" spans="1:7" ht="16.5" thickBot="1" x14ac:dyDescent="0.3">
      <c r="A297" s="55" t="s">
        <v>16</v>
      </c>
      <c r="B297" s="23" t="s">
        <v>307</v>
      </c>
      <c r="C297" s="8"/>
      <c r="D297" s="69">
        <v>43824</v>
      </c>
      <c r="E297" s="47">
        <f t="shared" si="20"/>
        <v>82166.117647058825</v>
      </c>
      <c r="F297" s="13">
        <f t="shared" si="19"/>
        <v>15611.562352941177</v>
      </c>
      <c r="G297" s="72">
        <v>97777.68</v>
      </c>
    </row>
    <row r="298" spans="1:7" ht="15.75" x14ac:dyDescent="0.25">
      <c r="A298" s="28" t="s">
        <v>16</v>
      </c>
      <c r="B298" s="24" t="s">
        <v>308</v>
      </c>
      <c r="C298" s="9"/>
      <c r="D298" s="29">
        <v>43824</v>
      </c>
      <c r="E298" s="34">
        <f t="shared" si="20"/>
        <v>82290.352941176476</v>
      </c>
      <c r="F298" s="14">
        <f t="shared" si="19"/>
        <v>15635.16705882353</v>
      </c>
      <c r="G298" s="27">
        <v>97925.52</v>
      </c>
    </row>
    <row r="299" spans="1:7" ht="16.5" thickBot="1" x14ac:dyDescent="0.3">
      <c r="A299" s="58" t="s">
        <v>16</v>
      </c>
      <c r="B299" s="22" t="s">
        <v>309</v>
      </c>
      <c r="C299" s="7"/>
      <c r="D299" s="26">
        <v>43824</v>
      </c>
      <c r="E299" s="59">
        <f t="shared" si="20"/>
        <v>83796.705882352951</v>
      </c>
      <c r="F299" s="12">
        <f t="shared" si="19"/>
        <v>15921.374117647061</v>
      </c>
      <c r="G299" s="71">
        <v>99718.080000000002</v>
      </c>
    </row>
    <row r="300" spans="1:7" ht="16.5" thickBot="1" x14ac:dyDescent="0.3">
      <c r="A300" s="55" t="s">
        <v>16</v>
      </c>
      <c r="B300" s="23" t="s">
        <v>310</v>
      </c>
      <c r="C300" s="8"/>
      <c r="D300" s="69">
        <v>43824</v>
      </c>
      <c r="E300" s="47">
        <f t="shared" si="20"/>
        <v>81638.319327731107</v>
      </c>
      <c r="F300" s="13">
        <f t="shared" si="19"/>
        <v>15511.280672268911</v>
      </c>
      <c r="G300" s="15">
        <v>97149.6</v>
      </c>
    </row>
    <row r="301" spans="1:7" ht="16.5" thickBot="1" x14ac:dyDescent="0.3">
      <c r="A301" s="56" t="s">
        <v>16</v>
      </c>
      <c r="B301" s="36" t="s">
        <v>311</v>
      </c>
      <c r="C301" s="37"/>
      <c r="D301" s="70">
        <v>43824</v>
      </c>
      <c r="E301" s="52">
        <f t="shared" si="20"/>
        <v>81015.126050420178</v>
      </c>
      <c r="F301" s="39">
        <f t="shared" si="19"/>
        <v>15392.873949579835</v>
      </c>
      <c r="G301" s="40">
        <v>96408</v>
      </c>
    </row>
    <row r="302" spans="1:7" ht="16.5" thickBot="1" x14ac:dyDescent="0.3">
      <c r="A302" s="55" t="s">
        <v>16</v>
      </c>
      <c r="B302" s="23" t="s">
        <v>312</v>
      </c>
      <c r="C302" s="8"/>
      <c r="D302" s="69">
        <v>43825</v>
      </c>
      <c r="E302" s="47">
        <f t="shared" si="20"/>
        <v>81987.31092436974</v>
      </c>
      <c r="F302" s="13">
        <f t="shared" si="19"/>
        <v>15577.589075630251</v>
      </c>
      <c r="G302" s="15">
        <v>97564.9</v>
      </c>
    </row>
    <row r="303" spans="1:7" ht="16.5" thickBot="1" x14ac:dyDescent="0.3">
      <c r="A303" s="55" t="s">
        <v>16</v>
      </c>
      <c r="B303" s="23" t="s">
        <v>313</v>
      </c>
      <c r="C303" s="8"/>
      <c r="D303" s="69">
        <v>43825</v>
      </c>
      <c r="E303" s="47">
        <f t="shared" si="20"/>
        <v>83233.697478991598</v>
      </c>
      <c r="F303" s="13">
        <f t="shared" si="19"/>
        <v>15814.402521008404</v>
      </c>
      <c r="G303" s="15">
        <v>99048.1</v>
      </c>
    </row>
    <row r="304" spans="1:7" ht="16.5" thickBot="1" x14ac:dyDescent="0.3">
      <c r="A304" s="55" t="s">
        <v>16</v>
      </c>
      <c r="B304" s="23" t="s">
        <v>314</v>
      </c>
      <c r="C304" s="8"/>
      <c r="D304" s="69">
        <v>43825</v>
      </c>
      <c r="E304" s="47">
        <f t="shared" si="20"/>
        <v>83183.840336134468</v>
      </c>
      <c r="F304" s="13">
        <f t="shared" si="19"/>
        <v>15804.929663865549</v>
      </c>
      <c r="G304" s="15">
        <v>98988.77</v>
      </c>
    </row>
    <row r="305" spans="1:7" ht="16.5" thickBot="1" x14ac:dyDescent="0.3">
      <c r="A305" s="56" t="s">
        <v>16</v>
      </c>
      <c r="B305" s="36" t="s">
        <v>315</v>
      </c>
      <c r="C305" s="37"/>
      <c r="D305" s="70">
        <v>43825</v>
      </c>
      <c r="E305" s="52">
        <f t="shared" si="20"/>
        <v>83133.983193277323</v>
      </c>
      <c r="F305" s="39">
        <f t="shared" si="19"/>
        <v>15795.456806722692</v>
      </c>
      <c r="G305" s="40">
        <v>98929.44</v>
      </c>
    </row>
    <row r="306" spans="1:7" ht="16.5" thickBot="1" x14ac:dyDescent="0.3">
      <c r="A306" s="55" t="s">
        <v>16</v>
      </c>
      <c r="B306" s="23" t="s">
        <v>316</v>
      </c>
      <c r="C306" s="8"/>
      <c r="D306" s="69">
        <v>43825</v>
      </c>
      <c r="E306" s="47">
        <f t="shared" si="20"/>
        <v>83507.899159663866</v>
      </c>
      <c r="F306" s="13">
        <f t="shared" si="19"/>
        <v>15866.500840336135</v>
      </c>
      <c r="G306" s="15">
        <v>99374.399999999994</v>
      </c>
    </row>
    <row r="307" spans="1:7" ht="16.5" thickBot="1" x14ac:dyDescent="0.3">
      <c r="A307" s="56" t="s">
        <v>16</v>
      </c>
      <c r="B307" s="36" t="s">
        <v>317</v>
      </c>
      <c r="C307" s="37"/>
      <c r="D307" s="70">
        <v>43825</v>
      </c>
      <c r="E307" s="52">
        <f t="shared" si="20"/>
        <v>83881.815126050424</v>
      </c>
      <c r="F307" s="39">
        <f t="shared" si="19"/>
        <v>15937.544873949581</v>
      </c>
      <c r="G307" s="40">
        <v>99819.36</v>
      </c>
    </row>
    <row r="308" spans="1:7" ht="16.5" thickBot="1" x14ac:dyDescent="0.3">
      <c r="A308" s="55" t="s">
        <v>16</v>
      </c>
      <c r="B308" s="23" t="s">
        <v>318</v>
      </c>
      <c r="C308" s="8"/>
      <c r="D308" s="69">
        <v>43825</v>
      </c>
      <c r="E308" s="47">
        <f t="shared" si="20"/>
        <v>83931.672268907569</v>
      </c>
      <c r="F308" s="13">
        <f t="shared" si="19"/>
        <v>15947.017731092439</v>
      </c>
      <c r="G308" s="15">
        <v>99878.69</v>
      </c>
    </row>
    <row r="309" spans="1:7" ht="16.5" thickBot="1" x14ac:dyDescent="0.3">
      <c r="A309" s="62" t="s">
        <v>16</v>
      </c>
      <c r="B309" s="63" t="s">
        <v>319</v>
      </c>
      <c r="C309" s="64"/>
      <c r="D309" s="65">
        <v>43825</v>
      </c>
      <c r="E309" s="66">
        <f t="shared" si="20"/>
        <v>83956.596638655465</v>
      </c>
      <c r="F309" s="67">
        <f t="shared" si="19"/>
        <v>15951.753361344539</v>
      </c>
      <c r="G309" s="68">
        <v>99908.35</v>
      </c>
    </row>
    <row r="310" spans="1:7" ht="16.5" thickBot="1" x14ac:dyDescent="0.3">
      <c r="A310" s="55" t="s">
        <v>16</v>
      </c>
      <c r="B310" s="23" t="s">
        <v>320</v>
      </c>
      <c r="C310" s="78"/>
      <c r="D310" s="21">
        <v>43825</v>
      </c>
      <c r="E310" s="13">
        <f t="shared" ref="E310:E337" si="21">(G310-I310)/1.19</f>
        <v>83858.823529411762</v>
      </c>
      <c r="F310" s="13">
        <f t="shared" ref="F310:F322" si="22">E310*0.19</f>
        <v>15933.176470588234</v>
      </c>
      <c r="G310" s="15">
        <v>99792</v>
      </c>
    </row>
    <row r="311" spans="1:7" ht="16.5" thickBot="1" x14ac:dyDescent="0.3">
      <c r="A311" s="56" t="s">
        <v>16</v>
      </c>
      <c r="B311" s="36" t="s">
        <v>321</v>
      </c>
      <c r="C311" s="37"/>
      <c r="D311" s="38">
        <v>43825</v>
      </c>
      <c r="E311" s="39">
        <f t="shared" si="21"/>
        <v>80752.941176470587</v>
      </c>
      <c r="F311" s="39">
        <f t="shared" si="22"/>
        <v>15343.058823529413</v>
      </c>
      <c r="G311" s="40">
        <v>96096</v>
      </c>
    </row>
    <row r="312" spans="1:7" ht="16.5" thickBot="1" x14ac:dyDescent="0.3">
      <c r="A312" s="55" t="s">
        <v>16</v>
      </c>
      <c r="B312" s="23" t="s">
        <v>322</v>
      </c>
      <c r="C312" s="8"/>
      <c r="D312" s="21">
        <v>43825</v>
      </c>
      <c r="E312" s="13">
        <f t="shared" si="21"/>
        <v>79200</v>
      </c>
      <c r="F312" s="13">
        <f t="shared" si="22"/>
        <v>15048</v>
      </c>
      <c r="G312" s="15">
        <v>94248</v>
      </c>
    </row>
    <row r="313" spans="1:7" ht="16.5" thickBot="1" x14ac:dyDescent="0.3">
      <c r="A313" s="56" t="s">
        <v>16</v>
      </c>
      <c r="B313" s="36" t="s">
        <v>323</v>
      </c>
      <c r="C313" s="37"/>
      <c r="D313" s="38">
        <v>43825</v>
      </c>
      <c r="E313" s="39">
        <f t="shared" si="21"/>
        <v>83455.058823529413</v>
      </c>
      <c r="F313" s="39">
        <f t="shared" si="22"/>
        <v>15856.461176470588</v>
      </c>
      <c r="G313" s="40">
        <v>99311.52</v>
      </c>
    </row>
    <row r="314" spans="1:7" ht="16.5" thickBot="1" x14ac:dyDescent="0.3">
      <c r="A314" s="55" t="s">
        <v>16</v>
      </c>
      <c r="B314" s="23" t="s">
        <v>324</v>
      </c>
      <c r="C314" s="8"/>
      <c r="D314" s="21">
        <v>43825</v>
      </c>
      <c r="E314" s="13">
        <f t="shared" si="21"/>
        <v>82041.882352941175</v>
      </c>
      <c r="F314" s="13">
        <f t="shared" si="22"/>
        <v>15587.957647058824</v>
      </c>
      <c r="G314" s="15">
        <v>97629.84</v>
      </c>
    </row>
    <row r="315" spans="1:7" ht="16.5" thickBot="1" x14ac:dyDescent="0.3">
      <c r="A315" s="77" t="s">
        <v>30</v>
      </c>
      <c r="B315" s="36" t="s">
        <v>325</v>
      </c>
      <c r="C315" s="37"/>
      <c r="D315" s="38">
        <v>43825</v>
      </c>
      <c r="E315" s="39">
        <f t="shared" si="21"/>
        <v>82735.14285714287</v>
      </c>
      <c r="F315" s="39">
        <f t="shared" si="22"/>
        <v>15719.677142857145</v>
      </c>
      <c r="G315" s="40">
        <v>98454.82</v>
      </c>
    </row>
    <row r="316" spans="1:7" ht="16.5" thickBot="1" x14ac:dyDescent="0.3">
      <c r="A316" s="20" t="s">
        <v>30</v>
      </c>
      <c r="B316" s="23" t="s">
        <v>326</v>
      </c>
      <c r="C316" s="8"/>
      <c r="D316" s="21">
        <v>43825</v>
      </c>
      <c r="E316" s="13">
        <f t="shared" si="21"/>
        <v>81015.126050420178</v>
      </c>
      <c r="F316" s="13">
        <f t="shared" si="22"/>
        <v>15392.873949579835</v>
      </c>
      <c r="G316" s="15">
        <v>96408</v>
      </c>
    </row>
    <row r="317" spans="1:7" ht="16.5" thickBot="1" x14ac:dyDescent="0.3">
      <c r="A317" s="35" t="s">
        <v>30</v>
      </c>
      <c r="B317" s="36" t="s">
        <v>327</v>
      </c>
      <c r="C317" s="37"/>
      <c r="D317" s="38">
        <v>43825</v>
      </c>
      <c r="E317" s="39">
        <f t="shared" si="21"/>
        <v>81314.26050420168</v>
      </c>
      <c r="F317" s="39">
        <f t="shared" si="22"/>
        <v>15449.709495798319</v>
      </c>
      <c r="G317" s="40">
        <v>96763.97</v>
      </c>
    </row>
    <row r="318" spans="1:7" ht="16.5" thickBot="1" x14ac:dyDescent="0.3">
      <c r="A318" s="20" t="s">
        <v>31</v>
      </c>
      <c r="B318" s="23" t="s">
        <v>328</v>
      </c>
      <c r="C318" s="8"/>
      <c r="D318" s="21">
        <v>43825</v>
      </c>
      <c r="E318" s="13">
        <f t="shared" si="21"/>
        <v>83314.285714285725</v>
      </c>
      <c r="F318" s="13">
        <f t="shared" si="22"/>
        <v>15829.714285714288</v>
      </c>
      <c r="G318" s="15">
        <v>99144</v>
      </c>
    </row>
    <row r="319" spans="1:7" ht="16.5" thickBot="1" x14ac:dyDescent="0.3">
      <c r="A319" s="20" t="s">
        <v>31</v>
      </c>
      <c r="B319" s="23" t="s">
        <v>329</v>
      </c>
      <c r="C319" s="8"/>
      <c r="D319" s="21">
        <v>43825</v>
      </c>
      <c r="E319" s="13">
        <f t="shared" si="21"/>
        <v>81121.159663865546</v>
      </c>
      <c r="F319" s="13">
        <f t="shared" si="22"/>
        <v>15413.020336134454</v>
      </c>
      <c r="G319" s="15">
        <v>96534.18</v>
      </c>
    </row>
    <row r="320" spans="1:7" ht="16.5" thickBot="1" x14ac:dyDescent="0.3">
      <c r="A320" s="20" t="s">
        <v>32</v>
      </c>
      <c r="B320" s="23" t="s">
        <v>330</v>
      </c>
      <c r="C320" s="8"/>
      <c r="D320" s="21">
        <v>43825</v>
      </c>
      <c r="E320" s="13">
        <f t="shared" si="21"/>
        <v>79369.109243697487</v>
      </c>
      <c r="F320" s="13">
        <f t="shared" si="22"/>
        <v>15080.130756302522</v>
      </c>
      <c r="G320" s="15">
        <v>94449.24</v>
      </c>
    </row>
    <row r="321" spans="1:7" ht="16.5" thickBot="1" x14ac:dyDescent="0.3">
      <c r="A321" s="35" t="s">
        <v>31</v>
      </c>
      <c r="B321" s="36" t="s">
        <v>331</v>
      </c>
      <c r="C321" s="37"/>
      <c r="D321" s="38">
        <v>43825</v>
      </c>
      <c r="E321" s="39">
        <f t="shared" si="21"/>
        <v>81648</v>
      </c>
      <c r="F321" s="39">
        <f t="shared" si="22"/>
        <v>15513.12</v>
      </c>
      <c r="G321" s="40">
        <v>97161.12</v>
      </c>
    </row>
    <row r="322" spans="1:7" ht="16.5" thickBot="1" x14ac:dyDescent="0.3">
      <c r="A322" s="20" t="s">
        <v>31</v>
      </c>
      <c r="B322" s="23" t="s">
        <v>332</v>
      </c>
      <c r="C322" s="8"/>
      <c r="D322" s="21">
        <v>43825</v>
      </c>
      <c r="E322" s="13">
        <f t="shared" si="21"/>
        <v>82370.873949579836</v>
      </c>
      <c r="F322" s="13">
        <f t="shared" si="22"/>
        <v>15650.466050420169</v>
      </c>
      <c r="G322" s="15">
        <v>98021.34</v>
      </c>
    </row>
    <row r="323" spans="1:7" ht="16.5" thickBot="1" x14ac:dyDescent="0.3">
      <c r="A323" s="20" t="s">
        <v>31</v>
      </c>
      <c r="B323" s="23" t="s">
        <v>333</v>
      </c>
      <c r="C323" s="8"/>
      <c r="D323" s="21">
        <v>43825</v>
      </c>
      <c r="E323" s="13">
        <f t="shared" si="21"/>
        <v>83926.890756302528</v>
      </c>
      <c r="F323" s="13">
        <f t="shared" ref="F323:F354" si="23">E323*0.19</f>
        <v>15946.109243697481</v>
      </c>
      <c r="G323" s="15">
        <v>99873</v>
      </c>
    </row>
    <row r="324" spans="1:7" ht="16.5" thickBot="1" x14ac:dyDescent="0.3">
      <c r="A324" s="35" t="s">
        <v>31</v>
      </c>
      <c r="B324" s="36" t="s">
        <v>334</v>
      </c>
      <c r="C324" s="37"/>
      <c r="D324" s="38">
        <v>43825</v>
      </c>
      <c r="E324" s="39">
        <f t="shared" si="21"/>
        <v>83461.310924369755</v>
      </c>
      <c r="F324" s="39">
        <f t="shared" si="23"/>
        <v>15857.649075630254</v>
      </c>
      <c r="G324" s="40">
        <v>99318.96</v>
      </c>
    </row>
    <row r="325" spans="1:7" ht="16.5" thickBot="1" x14ac:dyDescent="0.3">
      <c r="A325" s="20" t="s">
        <v>31</v>
      </c>
      <c r="B325" s="23" t="s">
        <v>335</v>
      </c>
      <c r="C325" s="8"/>
      <c r="D325" s="21">
        <v>43825</v>
      </c>
      <c r="E325" s="13">
        <f t="shared" si="21"/>
        <v>83424.554621848743</v>
      </c>
      <c r="F325" s="13">
        <f t="shared" si="23"/>
        <v>15850.665378151261</v>
      </c>
      <c r="G325" s="15">
        <v>99275.22</v>
      </c>
    </row>
    <row r="326" spans="1:7" ht="16.5" thickBot="1" x14ac:dyDescent="0.3">
      <c r="A326" s="35" t="s">
        <v>31</v>
      </c>
      <c r="B326" s="36" t="s">
        <v>336</v>
      </c>
      <c r="C326" s="37"/>
      <c r="D326" s="38">
        <v>43825</v>
      </c>
      <c r="E326" s="39">
        <f t="shared" si="21"/>
        <v>83338.789915966394</v>
      </c>
      <c r="F326" s="39">
        <f t="shared" si="23"/>
        <v>15834.370084033615</v>
      </c>
      <c r="G326" s="40">
        <v>99173.16</v>
      </c>
    </row>
    <row r="327" spans="1:7" ht="16.5" thickBot="1" x14ac:dyDescent="0.3">
      <c r="A327" s="20" t="s">
        <v>31</v>
      </c>
      <c r="B327" s="23" t="s">
        <v>337</v>
      </c>
      <c r="C327" s="8"/>
      <c r="D327" s="21">
        <v>43825</v>
      </c>
      <c r="E327" s="13">
        <f t="shared" si="21"/>
        <v>83326.537815126052</v>
      </c>
      <c r="F327" s="13">
        <f t="shared" si="23"/>
        <v>15832.04218487395</v>
      </c>
      <c r="G327" s="15">
        <v>99158.58</v>
      </c>
    </row>
    <row r="328" spans="1:7" ht="16.5" thickBot="1" x14ac:dyDescent="0.3">
      <c r="A328" s="20" t="s">
        <v>31</v>
      </c>
      <c r="B328" s="23" t="s">
        <v>338</v>
      </c>
      <c r="C328" s="8"/>
      <c r="D328" s="21">
        <v>43827</v>
      </c>
      <c r="E328" s="13">
        <f t="shared" si="21"/>
        <v>83081.495798319331</v>
      </c>
      <c r="F328" s="13">
        <f t="shared" si="23"/>
        <v>15785.484201680672</v>
      </c>
      <c r="G328" s="15">
        <v>98866.98</v>
      </c>
    </row>
    <row r="329" spans="1:7" ht="16.5" thickBot="1" x14ac:dyDescent="0.3">
      <c r="A329" s="35" t="s">
        <v>31</v>
      </c>
      <c r="B329" s="36" t="s">
        <v>339</v>
      </c>
      <c r="C329" s="37"/>
      <c r="D329" s="38">
        <v>43827</v>
      </c>
      <c r="E329" s="39">
        <f t="shared" si="21"/>
        <v>80631.075630252104</v>
      </c>
      <c r="F329" s="39">
        <f t="shared" si="23"/>
        <v>15319.904369747899</v>
      </c>
      <c r="G329" s="40">
        <v>95950.98</v>
      </c>
    </row>
    <row r="330" spans="1:7" ht="16.5" thickBot="1" x14ac:dyDescent="0.3">
      <c r="A330" s="20" t="s">
        <v>31</v>
      </c>
      <c r="B330" s="23" t="s">
        <v>340</v>
      </c>
      <c r="C330" s="8"/>
      <c r="D330" s="21">
        <v>43827</v>
      </c>
      <c r="E330" s="13">
        <f t="shared" si="21"/>
        <v>81243.680672268907</v>
      </c>
      <c r="F330" s="13">
        <f t="shared" si="23"/>
        <v>15436.299327731092</v>
      </c>
      <c r="G330" s="15">
        <v>96679.98</v>
      </c>
    </row>
    <row r="331" spans="1:7" ht="16.5" thickBot="1" x14ac:dyDescent="0.3">
      <c r="A331" s="35" t="s">
        <v>30</v>
      </c>
      <c r="B331" s="36" t="s">
        <v>343</v>
      </c>
      <c r="C331" s="37"/>
      <c r="D331" s="38">
        <v>43827</v>
      </c>
      <c r="E331" s="39">
        <f t="shared" si="21"/>
        <v>82448.470588235286</v>
      </c>
      <c r="F331" s="39">
        <f t="shared" si="23"/>
        <v>15665.209411764705</v>
      </c>
      <c r="G331" s="40">
        <v>98113.68</v>
      </c>
    </row>
    <row r="332" spans="1:7" ht="16.5" thickBot="1" x14ac:dyDescent="0.3">
      <c r="A332" s="20" t="s">
        <v>30</v>
      </c>
      <c r="B332" s="23" t="s">
        <v>344</v>
      </c>
      <c r="C332" s="8"/>
      <c r="D332" s="21">
        <v>43827</v>
      </c>
      <c r="E332" s="13">
        <f t="shared" si="21"/>
        <v>82498.327731092431</v>
      </c>
      <c r="F332" s="13">
        <f t="shared" si="23"/>
        <v>15674.682268907562</v>
      </c>
      <c r="G332" s="15">
        <v>98173.01</v>
      </c>
    </row>
    <row r="333" spans="1:7" ht="16.5" thickBot="1" x14ac:dyDescent="0.3">
      <c r="A333" s="35" t="s">
        <v>30</v>
      </c>
      <c r="B333" s="36" t="s">
        <v>345</v>
      </c>
      <c r="C333" s="37"/>
      <c r="D333" s="38">
        <v>43827</v>
      </c>
      <c r="E333" s="39">
        <f t="shared" si="21"/>
        <v>82610.504201680669</v>
      </c>
      <c r="F333" s="39">
        <f t="shared" si="23"/>
        <v>15695.995798319327</v>
      </c>
      <c r="G333" s="40">
        <v>98306.5</v>
      </c>
    </row>
    <row r="334" spans="1:7" ht="16.5" thickBot="1" x14ac:dyDescent="0.3">
      <c r="A334" s="20" t="s">
        <v>30</v>
      </c>
      <c r="B334" s="23" t="s">
        <v>346</v>
      </c>
      <c r="C334" s="8"/>
      <c r="D334" s="21">
        <v>43827</v>
      </c>
      <c r="E334" s="13">
        <f t="shared" si="21"/>
        <v>82722.672268907569</v>
      </c>
      <c r="F334" s="13">
        <f t="shared" si="23"/>
        <v>15717.307731092438</v>
      </c>
      <c r="G334" s="15">
        <v>98439.98</v>
      </c>
    </row>
    <row r="335" spans="1:7" ht="16.5" thickBot="1" x14ac:dyDescent="0.3">
      <c r="A335" s="35" t="s">
        <v>30</v>
      </c>
      <c r="B335" s="36" t="s">
        <v>347</v>
      </c>
      <c r="C335" s="37"/>
      <c r="D335" s="38">
        <v>43827</v>
      </c>
      <c r="E335" s="39">
        <f t="shared" si="21"/>
        <v>82473.394957983197</v>
      </c>
      <c r="F335" s="39">
        <f t="shared" si="23"/>
        <v>15669.945042016807</v>
      </c>
      <c r="G335" s="40">
        <v>98143.34</v>
      </c>
    </row>
    <row r="336" spans="1:7" ht="16.5" thickBot="1" x14ac:dyDescent="0.3">
      <c r="A336" s="20" t="s">
        <v>30</v>
      </c>
      <c r="B336" s="23" t="s">
        <v>348</v>
      </c>
      <c r="C336" s="8"/>
      <c r="D336" s="21">
        <v>43827</v>
      </c>
      <c r="E336" s="13">
        <f t="shared" si="21"/>
        <v>82373.68907563026</v>
      </c>
      <c r="F336" s="13">
        <f t="shared" si="23"/>
        <v>15651.00092436975</v>
      </c>
      <c r="G336" s="15">
        <v>98024.69</v>
      </c>
    </row>
    <row r="337" spans="1:7" ht="16.5" thickBot="1" x14ac:dyDescent="0.3">
      <c r="A337" s="35" t="s">
        <v>30</v>
      </c>
      <c r="B337" s="36" t="s">
        <v>349</v>
      </c>
      <c r="C337" s="37"/>
      <c r="D337" s="38">
        <v>43827</v>
      </c>
      <c r="E337" s="39">
        <f t="shared" si="21"/>
        <v>82411.075630252104</v>
      </c>
      <c r="F337" s="39">
        <f t="shared" si="23"/>
        <v>15658.1043697479</v>
      </c>
      <c r="G337" s="40">
        <v>98069.18</v>
      </c>
    </row>
    <row r="338" spans="1:7" ht="16.5" thickBot="1" x14ac:dyDescent="0.3">
      <c r="A338" s="20" t="s">
        <v>30</v>
      </c>
      <c r="B338" s="23" t="s">
        <v>350</v>
      </c>
      <c r="C338" s="8"/>
      <c r="D338" s="21">
        <v>43827</v>
      </c>
      <c r="E338" s="13">
        <f t="shared" ref="E338:E369" si="24">(G338-I338)/1.19</f>
        <v>82535.71428571429</v>
      </c>
      <c r="F338" s="13">
        <f t="shared" si="23"/>
        <v>15681.785714285716</v>
      </c>
      <c r="G338" s="15">
        <v>98217.5</v>
      </c>
    </row>
    <row r="339" spans="1:7" ht="16.5" thickBot="1" x14ac:dyDescent="0.3">
      <c r="A339" s="35" t="s">
        <v>30</v>
      </c>
      <c r="B339" s="36" t="s">
        <v>351</v>
      </c>
      <c r="C339" s="37"/>
      <c r="D339" s="38">
        <v>43827</v>
      </c>
      <c r="E339" s="39">
        <f t="shared" si="24"/>
        <v>82660.352941176476</v>
      </c>
      <c r="F339" s="39">
        <f t="shared" si="23"/>
        <v>15705.467058823531</v>
      </c>
      <c r="G339" s="40">
        <v>98365.82</v>
      </c>
    </row>
    <row r="340" spans="1:7" ht="16.5" thickBot="1" x14ac:dyDescent="0.3">
      <c r="A340" s="20" t="s">
        <v>30</v>
      </c>
      <c r="B340" s="23" t="s">
        <v>352</v>
      </c>
      <c r="C340" s="8"/>
      <c r="D340" s="21">
        <v>43828</v>
      </c>
      <c r="E340" s="13">
        <f t="shared" si="24"/>
        <v>82685.285714285725</v>
      </c>
      <c r="F340" s="13">
        <f t="shared" si="23"/>
        <v>15710.204285714288</v>
      </c>
      <c r="G340" s="15">
        <v>98395.49</v>
      </c>
    </row>
    <row r="341" spans="1:7" ht="16.5" thickBot="1" x14ac:dyDescent="0.3">
      <c r="A341" s="35" t="s">
        <v>30</v>
      </c>
      <c r="B341" s="36" t="s">
        <v>353</v>
      </c>
      <c r="C341" s="37"/>
      <c r="D341" s="38">
        <v>43828</v>
      </c>
      <c r="E341" s="39">
        <f t="shared" si="24"/>
        <v>82735.14285714287</v>
      </c>
      <c r="F341" s="39">
        <f t="shared" si="23"/>
        <v>15719.677142857145</v>
      </c>
      <c r="G341" s="40">
        <v>98454.82</v>
      </c>
    </row>
    <row r="342" spans="1:7" ht="16.5" thickBot="1" x14ac:dyDescent="0.3">
      <c r="A342" s="20" t="s">
        <v>30</v>
      </c>
      <c r="B342" s="23" t="s">
        <v>354</v>
      </c>
      <c r="C342" s="8"/>
      <c r="D342" s="21">
        <v>43828</v>
      </c>
      <c r="E342" s="13">
        <f t="shared" si="24"/>
        <v>82784.991596638662</v>
      </c>
      <c r="F342" s="13">
        <f t="shared" si="23"/>
        <v>15729.148403361345</v>
      </c>
      <c r="G342" s="15">
        <v>98514.14</v>
      </c>
    </row>
    <row r="343" spans="1:7" ht="16.5" thickBot="1" x14ac:dyDescent="0.3">
      <c r="A343" s="75" t="s">
        <v>30</v>
      </c>
      <c r="B343" s="63" t="s">
        <v>355</v>
      </c>
      <c r="C343" s="64"/>
      <c r="D343" s="76">
        <v>43828</v>
      </c>
      <c r="E343" s="67">
        <f t="shared" si="24"/>
        <v>82922.100840336134</v>
      </c>
      <c r="F343" s="67">
        <f t="shared" si="23"/>
        <v>15755.199159663865</v>
      </c>
      <c r="G343" s="68">
        <v>98677.3</v>
      </c>
    </row>
    <row r="344" spans="1:7" ht="16.5" thickBot="1" x14ac:dyDescent="0.3">
      <c r="A344" s="55" t="s">
        <v>30</v>
      </c>
      <c r="B344" s="23" t="s">
        <v>356</v>
      </c>
      <c r="C344" s="8"/>
      <c r="D344" s="69">
        <v>43828</v>
      </c>
      <c r="E344" s="47">
        <f t="shared" si="24"/>
        <v>82847.310924369755</v>
      </c>
      <c r="F344" s="13">
        <f t="shared" si="23"/>
        <v>15740.989075630254</v>
      </c>
      <c r="G344" s="72">
        <v>98588.3</v>
      </c>
    </row>
    <row r="345" spans="1:7" ht="16.5" thickBot="1" x14ac:dyDescent="0.3">
      <c r="A345" s="55" t="s">
        <v>30</v>
      </c>
      <c r="B345" s="23" t="s">
        <v>357</v>
      </c>
      <c r="C345" s="8"/>
      <c r="D345" s="69">
        <v>43828</v>
      </c>
      <c r="E345" s="47">
        <f t="shared" si="24"/>
        <v>82423.546218487405</v>
      </c>
      <c r="F345" s="13">
        <f t="shared" si="23"/>
        <v>15660.473781512606</v>
      </c>
      <c r="G345" s="72">
        <v>98084.02</v>
      </c>
    </row>
    <row r="346" spans="1:7" ht="16.5" thickBot="1" x14ac:dyDescent="0.3">
      <c r="A346" s="55" t="s">
        <v>30</v>
      </c>
      <c r="B346" s="23" t="s">
        <v>358</v>
      </c>
      <c r="C346" s="8"/>
      <c r="D346" s="69">
        <v>43828</v>
      </c>
      <c r="E346" s="47">
        <f t="shared" si="24"/>
        <v>82473.394957983197</v>
      </c>
      <c r="F346" s="13">
        <f t="shared" si="23"/>
        <v>15669.945042016807</v>
      </c>
      <c r="G346" s="72">
        <v>98143.34</v>
      </c>
    </row>
    <row r="347" spans="1:7" ht="16.5" thickBot="1" x14ac:dyDescent="0.3">
      <c r="A347" s="56" t="s">
        <v>30</v>
      </c>
      <c r="B347" s="36" t="s">
        <v>359</v>
      </c>
      <c r="C347" s="37"/>
      <c r="D347" s="70">
        <v>43828</v>
      </c>
      <c r="E347" s="52">
        <f t="shared" si="24"/>
        <v>82598.033613445383</v>
      </c>
      <c r="F347" s="39">
        <f t="shared" si="23"/>
        <v>15693.626386554623</v>
      </c>
      <c r="G347" s="73">
        <v>98291.66</v>
      </c>
    </row>
    <row r="348" spans="1:7" ht="16.5" thickBot="1" x14ac:dyDescent="0.3">
      <c r="A348" s="55" t="s">
        <v>30</v>
      </c>
      <c r="B348" s="23" t="s">
        <v>360</v>
      </c>
      <c r="C348" s="8"/>
      <c r="D348" s="69">
        <v>43828</v>
      </c>
      <c r="E348" s="47">
        <f t="shared" si="24"/>
        <v>82971.949579831926</v>
      </c>
      <c r="F348" s="13">
        <f t="shared" si="23"/>
        <v>15764.670420168066</v>
      </c>
      <c r="G348" s="72">
        <v>98736.62</v>
      </c>
    </row>
    <row r="349" spans="1:7" ht="16.5" thickBot="1" x14ac:dyDescent="0.3">
      <c r="A349" s="62" t="s">
        <v>30</v>
      </c>
      <c r="B349" s="63" t="s">
        <v>361</v>
      </c>
      <c r="C349" s="64"/>
      <c r="D349" s="65">
        <v>43828</v>
      </c>
      <c r="E349" s="66">
        <f t="shared" si="24"/>
        <v>82996.882352941175</v>
      </c>
      <c r="F349" s="67">
        <f t="shared" si="23"/>
        <v>15769.407647058824</v>
      </c>
      <c r="G349" s="74">
        <v>98766.29</v>
      </c>
    </row>
    <row r="350" spans="1:7" ht="16.5" thickBot="1" x14ac:dyDescent="0.3">
      <c r="A350" s="55" t="s">
        <v>16</v>
      </c>
      <c r="B350" s="23" t="s">
        <v>362</v>
      </c>
      <c r="C350" s="8"/>
      <c r="D350" s="69">
        <v>43828</v>
      </c>
      <c r="E350" s="47">
        <f t="shared" si="24"/>
        <v>78609.882352941175</v>
      </c>
      <c r="F350" s="13">
        <f t="shared" si="23"/>
        <v>14935.877647058824</v>
      </c>
      <c r="G350" s="72">
        <v>93545.76</v>
      </c>
    </row>
    <row r="351" spans="1:7" ht="16.5" thickBot="1" x14ac:dyDescent="0.3">
      <c r="A351" s="56" t="s">
        <v>16</v>
      </c>
      <c r="B351" s="36" t="s">
        <v>363</v>
      </c>
      <c r="C351" s="37"/>
      <c r="D351" s="70">
        <v>43828</v>
      </c>
      <c r="E351" s="52">
        <f t="shared" si="24"/>
        <v>83284.23529411765</v>
      </c>
      <c r="F351" s="39">
        <f t="shared" si="23"/>
        <v>15824.004705882353</v>
      </c>
      <c r="G351" s="73">
        <v>99108.24</v>
      </c>
    </row>
    <row r="352" spans="1:7" ht="16.5" thickBot="1" x14ac:dyDescent="0.3">
      <c r="A352" s="55" t="s">
        <v>16</v>
      </c>
      <c r="B352" s="23" t="s">
        <v>364</v>
      </c>
      <c r="C352" s="8"/>
      <c r="D352" s="69">
        <v>43828</v>
      </c>
      <c r="E352" s="47">
        <f t="shared" si="24"/>
        <v>83439.529411764699</v>
      </c>
      <c r="F352" s="13">
        <f t="shared" si="23"/>
        <v>15853.510588235293</v>
      </c>
      <c r="G352" s="72">
        <v>99293.04</v>
      </c>
    </row>
    <row r="353" spans="1:7" ht="16.5" thickBot="1" x14ac:dyDescent="0.3">
      <c r="A353" s="56" t="s">
        <v>16</v>
      </c>
      <c r="B353" s="36" t="s">
        <v>365</v>
      </c>
      <c r="C353" s="37"/>
      <c r="D353" s="70">
        <v>43828</v>
      </c>
      <c r="E353" s="52">
        <f t="shared" si="24"/>
        <v>83486.117647058825</v>
      </c>
      <c r="F353" s="39">
        <f t="shared" si="23"/>
        <v>15862.362352941176</v>
      </c>
      <c r="G353" s="73">
        <v>99348.479999999996</v>
      </c>
    </row>
    <row r="354" spans="1:7" ht="16.5" thickBot="1" x14ac:dyDescent="0.3">
      <c r="A354" s="55" t="s">
        <v>16</v>
      </c>
      <c r="B354" s="23" t="s">
        <v>366</v>
      </c>
      <c r="C354" s="8"/>
      <c r="D354" s="69">
        <v>43828</v>
      </c>
      <c r="E354" s="47">
        <f t="shared" si="24"/>
        <v>83408.470588235301</v>
      </c>
      <c r="F354" s="13">
        <f t="shared" si="23"/>
        <v>15847.609411764708</v>
      </c>
      <c r="G354" s="72">
        <v>99256.08</v>
      </c>
    </row>
    <row r="355" spans="1:7" ht="16.5" thickBot="1" x14ac:dyDescent="0.3">
      <c r="A355" s="56" t="s">
        <v>16</v>
      </c>
      <c r="B355" s="36" t="s">
        <v>367</v>
      </c>
      <c r="C355" s="37"/>
      <c r="D355" s="70">
        <v>43828</v>
      </c>
      <c r="E355" s="52">
        <f t="shared" si="24"/>
        <v>83361.882352941175</v>
      </c>
      <c r="F355" s="39">
        <f t="shared" ref="F355:F386" si="25">E355*0.19</f>
        <v>15838.757647058823</v>
      </c>
      <c r="G355" s="73">
        <v>99200.639999999999</v>
      </c>
    </row>
    <row r="356" spans="1:7" ht="16.5" thickBot="1" x14ac:dyDescent="0.3">
      <c r="A356" s="55" t="s">
        <v>16</v>
      </c>
      <c r="B356" s="23" t="s">
        <v>368</v>
      </c>
      <c r="C356" s="8"/>
      <c r="D356" s="69">
        <v>43828</v>
      </c>
      <c r="E356" s="47">
        <f t="shared" si="24"/>
        <v>83222.11764705884</v>
      </c>
      <c r="F356" s="13">
        <f t="shared" si="25"/>
        <v>15812.20235294118</v>
      </c>
      <c r="G356" s="72">
        <v>99034.32</v>
      </c>
    </row>
    <row r="357" spans="1:7" ht="16.5" thickBot="1" x14ac:dyDescent="0.3">
      <c r="A357" s="56" t="s">
        <v>16</v>
      </c>
      <c r="B357" s="36" t="s">
        <v>369</v>
      </c>
      <c r="C357" s="37"/>
      <c r="D357" s="70">
        <v>43828</v>
      </c>
      <c r="E357" s="52">
        <f t="shared" si="24"/>
        <v>82911.529411764714</v>
      </c>
      <c r="F357" s="39">
        <f t="shared" si="25"/>
        <v>15753.190588235297</v>
      </c>
      <c r="G357" s="73">
        <v>98664.72</v>
      </c>
    </row>
    <row r="358" spans="1:7" ht="16.5" thickBot="1" x14ac:dyDescent="0.3">
      <c r="A358" s="55" t="s">
        <v>16</v>
      </c>
      <c r="B358" s="23" t="s">
        <v>370</v>
      </c>
      <c r="C358" s="8"/>
      <c r="D358" s="69">
        <v>43829</v>
      </c>
      <c r="E358" s="47">
        <f t="shared" si="24"/>
        <v>82756.23529411765</v>
      </c>
      <c r="F358" s="13">
        <f t="shared" si="25"/>
        <v>15723.684705882353</v>
      </c>
      <c r="G358" s="72">
        <v>98479.92</v>
      </c>
    </row>
    <row r="359" spans="1:7" ht="16.5" thickBot="1" x14ac:dyDescent="0.3">
      <c r="A359" s="56" t="s">
        <v>16</v>
      </c>
      <c r="B359" s="36" t="s">
        <v>371</v>
      </c>
      <c r="C359" s="37"/>
      <c r="D359" s="70">
        <v>43829</v>
      </c>
      <c r="E359" s="52">
        <f t="shared" si="24"/>
        <v>82632</v>
      </c>
      <c r="F359" s="39">
        <f t="shared" si="25"/>
        <v>15700.08</v>
      </c>
      <c r="G359" s="73">
        <v>98332.08</v>
      </c>
    </row>
    <row r="360" spans="1:7" ht="16.5" thickBot="1" x14ac:dyDescent="0.3">
      <c r="A360" s="55" t="s">
        <v>16</v>
      </c>
      <c r="B360" s="23" t="s">
        <v>372</v>
      </c>
      <c r="C360" s="8"/>
      <c r="D360" s="69">
        <v>43829</v>
      </c>
      <c r="E360" s="47">
        <f t="shared" si="24"/>
        <v>82166.117647058825</v>
      </c>
      <c r="F360" s="13">
        <f t="shared" si="25"/>
        <v>15611.562352941177</v>
      </c>
      <c r="G360" s="72">
        <v>97777.68</v>
      </c>
    </row>
    <row r="361" spans="1:7" ht="16.5" thickBot="1" x14ac:dyDescent="0.3">
      <c r="A361" s="55" t="s">
        <v>16</v>
      </c>
      <c r="B361" s="23" t="s">
        <v>373</v>
      </c>
      <c r="C361" s="8"/>
      <c r="D361" s="69">
        <v>43829</v>
      </c>
      <c r="E361" s="47">
        <f t="shared" si="24"/>
        <v>82290.352941176476</v>
      </c>
      <c r="F361" s="13">
        <f t="shared" si="25"/>
        <v>15635.16705882353</v>
      </c>
      <c r="G361" s="72">
        <v>97925.52</v>
      </c>
    </row>
    <row r="362" spans="1:7" ht="16.5" thickBot="1" x14ac:dyDescent="0.3">
      <c r="A362" s="55" t="s">
        <v>16</v>
      </c>
      <c r="B362" s="23" t="s">
        <v>374</v>
      </c>
      <c r="C362" s="8"/>
      <c r="D362" s="69">
        <v>43829</v>
      </c>
      <c r="E362" s="47">
        <f t="shared" si="24"/>
        <v>83796.705882352951</v>
      </c>
      <c r="F362" s="13">
        <f t="shared" si="25"/>
        <v>15921.374117647061</v>
      </c>
      <c r="G362" s="72">
        <v>99718.080000000002</v>
      </c>
    </row>
    <row r="363" spans="1:7" ht="16.5" thickBot="1" x14ac:dyDescent="0.3">
      <c r="A363" s="55" t="s">
        <v>16</v>
      </c>
      <c r="B363" s="23" t="s">
        <v>375</v>
      </c>
      <c r="C363" s="8"/>
      <c r="D363" s="69">
        <v>43829</v>
      </c>
      <c r="E363" s="47">
        <f t="shared" si="24"/>
        <v>81638.319327731107</v>
      </c>
      <c r="F363" s="13">
        <f t="shared" si="25"/>
        <v>15511.280672268911</v>
      </c>
      <c r="G363" s="15">
        <v>97149.6</v>
      </c>
    </row>
    <row r="364" spans="1:7" ht="16.5" thickBot="1" x14ac:dyDescent="0.3">
      <c r="A364" s="56" t="s">
        <v>16</v>
      </c>
      <c r="B364" s="36" t="s">
        <v>376</v>
      </c>
      <c r="C364" s="37"/>
      <c r="D364" s="70">
        <v>43829</v>
      </c>
      <c r="E364" s="52">
        <f t="shared" si="24"/>
        <v>81015.126050420178</v>
      </c>
      <c r="F364" s="39">
        <f t="shared" si="25"/>
        <v>15392.873949579835</v>
      </c>
      <c r="G364" s="40">
        <v>96408</v>
      </c>
    </row>
    <row r="365" spans="1:7" ht="16.5" thickBot="1" x14ac:dyDescent="0.3">
      <c r="A365" s="55" t="s">
        <v>16</v>
      </c>
      <c r="B365" s="23" t="s">
        <v>377</v>
      </c>
      <c r="C365" s="8"/>
      <c r="D365" s="69">
        <v>43829</v>
      </c>
      <c r="E365" s="47">
        <f t="shared" si="24"/>
        <v>81987.31092436974</v>
      </c>
      <c r="F365" s="13">
        <f t="shared" si="25"/>
        <v>15577.589075630251</v>
      </c>
      <c r="G365" s="15">
        <v>97564.9</v>
      </c>
    </row>
    <row r="366" spans="1:7" ht="16.5" thickBot="1" x14ac:dyDescent="0.3">
      <c r="A366" s="55" t="s">
        <v>16</v>
      </c>
      <c r="B366" s="23" t="s">
        <v>378</v>
      </c>
      <c r="C366" s="8"/>
      <c r="D366" s="69">
        <v>43829</v>
      </c>
      <c r="E366" s="47">
        <f t="shared" si="24"/>
        <v>83233.697478991598</v>
      </c>
      <c r="F366" s="13">
        <f t="shared" si="25"/>
        <v>15814.402521008404</v>
      </c>
      <c r="G366" s="15">
        <v>99048.1</v>
      </c>
    </row>
    <row r="367" spans="1:7" ht="16.5" thickBot="1" x14ac:dyDescent="0.3">
      <c r="A367" s="55" t="s">
        <v>16</v>
      </c>
      <c r="B367" s="23" t="s">
        <v>379</v>
      </c>
      <c r="C367" s="8"/>
      <c r="D367" s="69">
        <v>43829</v>
      </c>
      <c r="E367" s="47">
        <f t="shared" si="24"/>
        <v>83183.840336134468</v>
      </c>
      <c r="F367" s="13">
        <f t="shared" si="25"/>
        <v>15804.929663865549</v>
      </c>
      <c r="G367" s="15">
        <v>98988.77</v>
      </c>
    </row>
    <row r="368" spans="1:7" ht="16.5" thickBot="1" x14ac:dyDescent="0.3">
      <c r="A368" s="56" t="s">
        <v>16</v>
      </c>
      <c r="B368" s="36" t="s">
        <v>380</v>
      </c>
      <c r="C368" s="37"/>
      <c r="D368" s="70">
        <v>43829</v>
      </c>
      <c r="E368" s="52">
        <f t="shared" si="24"/>
        <v>83133.983193277323</v>
      </c>
      <c r="F368" s="39">
        <f t="shared" si="25"/>
        <v>15795.456806722692</v>
      </c>
      <c r="G368" s="40">
        <v>98929.44</v>
      </c>
    </row>
    <row r="369" spans="1:7" ht="16.5" thickBot="1" x14ac:dyDescent="0.3">
      <c r="A369" s="55" t="s">
        <v>16</v>
      </c>
      <c r="B369" s="23" t="s">
        <v>381</v>
      </c>
      <c r="C369" s="8"/>
      <c r="D369" s="69">
        <v>43829</v>
      </c>
      <c r="E369" s="47">
        <f t="shared" si="24"/>
        <v>83507.899159663866</v>
      </c>
      <c r="F369" s="13">
        <f t="shared" si="25"/>
        <v>15866.500840336135</v>
      </c>
      <c r="G369" s="15">
        <v>99374.399999999994</v>
      </c>
    </row>
    <row r="370" spans="1:7" ht="16.5" thickBot="1" x14ac:dyDescent="0.3">
      <c r="A370" s="56" t="s">
        <v>16</v>
      </c>
      <c r="B370" s="36" t="s">
        <v>382</v>
      </c>
      <c r="C370" s="37"/>
      <c r="D370" s="70">
        <v>43830</v>
      </c>
      <c r="E370" s="52">
        <f t="shared" ref="E370:E393" si="26">(G370-I370)/1.19</f>
        <v>83881.815126050424</v>
      </c>
      <c r="F370" s="39">
        <f t="shared" si="25"/>
        <v>15937.544873949581</v>
      </c>
      <c r="G370" s="40">
        <v>99819.36</v>
      </c>
    </row>
    <row r="371" spans="1:7" ht="16.5" thickBot="1" x14ac:dyDescent="0.3">
      <c r="A371" s="55" t="s">
        <v>16</v>
      </c>
      <c r="B371" s="23" t="s">
        <v>383</v>
      </c>
      <c r="C371" s="8"/>
      <c r="D371" s="69">
        <v>43830</v>
      </c>
      <c r="E371" s="47">
        <f t="shared" si="26"/>
        <v>83931.672268907569</v>
      </c>
      <c r="F371" s="13">
        <f t="shared" si="25"/>
        <v>15947.017731092439</v>
      </c>
      <c r="G371" s="15">
        <v>99878.69</v>
      </c>
    </row>
    <row r="372" spans="1:7" ht="16.5" thickBot="1" x14ac:dyDescent="0.3">
      <c r="A372" s="62" t="s">
        <v>16</v>
      </c>
      <c r="B372" s="63" t="s">
        <v>384</v>
      </c>
      <c r="C372" s="64"/>
      <c r="D372" s="65">
        <v>43830</v>
      </c>
      <c r="E372" s="66">
        <f t="shared" si="26"/>
        <v>83956.596638655465</v>
      </c>
      <c r="F372" s="67">
        <f t="shared" si="25"/>
        <v>15951.753361344539</v>
      </c>
      <c r="G372" s="68">
        <v>99908.35</v>
      </c>
    </row>
    <row r="373" spans="1:7" ht="16.5" thickBot="1" x14ac:dyDescent="0.3">
      <c r="A373" s="55" t="s">
        <v>30</v>
      </c>
      <c r="B373" s="60" t="s">
        <v>385</v>
      </c>
      <c r="C373" s="48"/>
      <c r="D373" s="49">
        <v>43830</v>
      </c>
      <c r="E373" s="13">
        <f t="shared" si="26"/>
        <v>83981.529411764714</v>
      </c>
      <c r="F373" s="47">
        <f t="shared" si="25"/>
        <v>15956.490588235296</v>
      </c>
      <c r="G373" s="60">
        <v>99938.02</v>
      </c>
    </row>
    <row r="374" spans="1:7" ht="16.5" thickBot="1" x14ac:dyDescent="0.3">
      <c r="A374" s="56" t="s">
        <v>30</v>
      </c>
      <c r="B374" s="61" t="s">
        <v>386</v>
      </c>
      <c r="C374" s="50"/>
      <c r="D374" s="51">
        <v>43830</v>
      </c>
      <c r="E374" s="39">
        <f t="shared" si="26"/>
        <v>83993.991596638662</v>
      </c>
      <c r="F374" s="52">
        <f t="shared" si="25"/>
        <v>15958.858403361346</v>
      </c>
      <c r="G374" s="61">
        <v>99952.85</v>
      </c>
    </row>
    <row r="375" spans="1:7" ht="16.5" thickBot="1" x14ac:dyDescent="0.3">
      <c r="A375" s="55" t="s">
        <v>31</v>
      </c>
      <c r="B375" s="60" t="s">
        <v>387</v>
      </c>
      <c r="C375" s="48"/>
      <c r="D375" s="49">
        <v>43830</v>
      </c>
      <c r="E375" s="13">
        <f t="shared" si="26"/>
        <v>82566.907563025205</v>
      </c>
      <c r="F375" s="47">
        <f t="shared" si="25"/>
        <v>15687.712436974789</v>
      </c>
      <c r="G375" s="60">
        <v>98254.62</v>
      </c>
    </row>
    <row r="376" spans="1:7" ht="16.5" thickBot="1" x14ac:dyDescent="0.3">
      <c r="A376" s="56" t="s">
        <v>31</v>
      </c>
      <c r="B376" s="61" t="s">
        <v>388</v>
      </c>
      <c r="C376" s="50"/>
      <c r="D376" s="51">
        <v>43830</v>
      </c>
      <c r="E376" s="39">
        <f t="shared" si="26"/>
        <v>83792.117647058825</v>
      </c>
      <c r="F376" s="52">
        <f t="shared" si="25"/>
        <v>15920.502352941177</v>
      </c>
      <c r="G376" s="61">
        <v>99712.62</v>
      </c>
    </row>
    <row r="377" spans="1:7" ht="16.5" thickBot="1" x14ac:dyDescent="0.3">
      <c r="A377" s="55" t="s">
        <v>31</v>
      </c>
      <c r="B377" s="60" t="s">
        <v>389</v>
      </c>
      <c r="C377" s="48"/>
      <c r="D377" s="49">
        <v>43830</v>
      </c>
      <c r="E377" s="13">
        <f t="shared" si="26"/>
        <v>83779.865546218483</v>
      </c>
      <c r="F377" s="47">
        <f t="shared" si="25"/>
        <v>15918.174453781512</v>
      </c>
      <c r="G377" s="60">
        <v>99698.04</v>
      </c>
    </row>
    <row r="378" spans="1:7" ht="16.5" thickBot="1" x14ac:dyDescent="0.3">
      <c r="A378" s="56" t="s">
        <v>31</v>
      </c>
      <c r="B378" s="61" t="s">
        <v>390</v>
      </c>
      <c r="C378" s="50"/>
      <c r="D378" s="51">
        <v>43830</v>
      </c>
      <c r="E378" s="39">
        <f t="shared" si="26"/>
        <v>83706.352941176476</v>
      </c>
      <c r="F378" s="52">
        <f t="shared" si="25"/>
        <v>15904.207058823531</v>
      </c>
      <c r="G378" s="61">
        <v>99610.559999999998</v>
      </c>
    </row>
    <row r="379" spans="1:7" ht="16.5" thickBot="1" x14ac:dyDescent="0.3">
      <c r="A379" s="55" t="s">
        <v>31</v>
      </c>
      <c r="B379" s="60" t="s">
        <v>391</v>
      </c>
      <c r="C379" s="48"/>
      <c r="D379" s="49">
        <v>43830</v>
      </c>
      <c r="E379" s="13">
        <f t="shared" si="26"/>
        <v>83583.831932773115</v>
      </c>
      <c r="F379" s="47">
        <f t="shared" si="25"/>
        <v>15880.928067226892</v>
      </c>
      <c r="G379" s="60">
        <v>99464.76</v>
      </c>
    </row>
    <row r="380" spans="1:7" ht="16.5" thickBot="1" x14ac:dyDescent="0.3">
      <c r="A380" s="56" t="s">
        <v>31</v>
      </c>
      <c r="B380" s="61" t="s">
        <v>392</v>
      </c>
      <c r="C380" s="50"/>
      <c r="D380" s="51">
        <v>43830</v>
      </c>
      <c r="E380" s="39">
        <f t="shared" si="26"/>
        <v>83706.352941176476</v>
      </c>
      <c r="F380" s="52">
        <f t="shared" si="25"/>
        <v>15904.207058823531</v>
      </c>
      <c r="G380" s="61">
        <v>99610.559999999998</v>
      </c>
    </row>
    <row r="381" spans="1:7" ht="16.5" thickBot="1" x14ac:dyDescent="0.3">
      <c r="A381" s="55" t="s">
        <v>31</v>
      </c>
      <c r="B381" s="60" t="s">
        <v>393</v>
      </c>
      <c r="C381" s="46"/>
      <c r="D381" s="69">
        <v>43830</v>
      </c>
      <c r="E381" s="13">
        <f t="shared" si="26"/>
        <v>83828.873949579836</v>
      </c>
      <c r="F381" s="47">
        <f t="shared" si="25"/>
        <v>15927.48605042017</v>
      </c>
      <c r="G381" s="60">
        <v>99756.36</v>
      </c>
    </row>
    <row r="382" spans="1:7" ht="16.5" thickBot="1" x14ac:dyDescent="0.3">
      <c r="A382" s="56" t="s">
        <v>31</v>
      </c>
      <c r="B382" s="61" t="s">
        <v>394</v>
      </c>
      <c r="C382" s="50"/>
      <c r="D382" s="51">
        <v>43830</v>
      </c>
      <c r="E382" s="39">
        <f t="shared" si="26"/>
        <v>83963.647058823539</v>
      </c>
      <c r="F382" s="52">
        <f t="shared" si="25"/>
        <v>15953.092941176472</v>
      </c>
      <c r="G382" s="61">
        <v>99916.74</v>
      </c>
    </row>
    <row r="383" spans="1:7" ht="16.5" thickBot="1" x14ac:dyDescent="0.3">
      <c r="A383" s="55" t="s">
        <v>31</v>
      </c>
      <c r="B383" s="60" t="s">
        <v>395</v>
      </c>
      <c r="C383" s="46"/>
      <c r="D383" s="69">
        <v>43830</v>
      </c>
      <c r="E383" s="13">
        <f t="shared" si="26"/>
        <v>83988.151260504193</v>
      </c>
      <c r="F383" s="47">
        <f t="shared" si="25"/>
        <v>15957.748739495797</v>
      </c>
      <c r="G383" s="15">
        <v>99945.9</v>
      </c>
    </row>
    <row r="384" spans="1:7" ht="16.5" thickBot="1" x14ac:dyDescent="0.3">
      <c r="A384" s="56" t="s">
        <v>31</v>
      </c>
      <c r="B384" s="61" t="s">
        <v>396</v>
      </c>
      <c r="C384" s="50"/>
      <c r="D384" s="51">
        <v>43830</v>
      </c>
      <c r="E384" s="39">
        <f t="shared" si="26"/>
        <v>84012.655462184877</v>
      </c>
      <c r="F384" s="52">
        <f t="shared" si="25"/>
        <v>15962.404537815128</v>
      </c>
      <c r="G384" s="40">
        <v>99975.06</v>
      </c>
    </row>
    <row r="385" spans="1:7" ht="16.5" thickBot="1" x14ac:dyDescent="0.3">
      <c r="A385" s="55" t="s">
        <v>16</v>
      </c>
      <c r="B385" s="60" t="s">
        <v>397</v>
      </c>
      <c r="C385" s="46"/>
      <c r="D385" s="69">
        <v>43830</v>
      </c>
      <c r="E385" s="13">
        <f t="shared" si="26"/>
        <v>80752.941176470587</v>
      </c>
      <c r="F385" s="47">
        <f t="shared" si="25"/>
        <v>15343.058823529413</v>
      </c>
      <c r="G385" s="15">
        <v>96096</v>
      </c>
    </row>
    <row r="386" spans="1:7" ht="16.5" thickBot="1" x14ac:dyDescent="0.3">
      <c r="A386" s="56" t="s">
        <v>16</v>
      </c>
      <c r="B386" s="61" t="s">
        <v>398</v>
      </c>
      <c r="C386" s="50"/>
      <c r="D386" s="51">
        <v>43830</v>
      </c>
      <c r="E386" s="39">
        <f t="shared" si="26"/>
        <v>81591.529411764714</v>
      </c>
      <c r="F386" s="52">
        <f t="shared" si="25"/>
        <v>15502.390588235296</v>
      </c>
      <c r="G386" s="40">
        <v>97093.92</v>
      </c>
    </row>
    <row r="387" spans="1:7" ht="16.5" thickBot="1" x14ac:dyDescent="0.3">
      <c r="A387" s="55" t="s">
        <v>16</v>
      </c>
      <c r="B387" s="60" t="s">
        <v>399</v>
      </c>
      <c r="C387" s="46"/>
      <c r="D387" s="69">
        <v>43830</v>
      </c>
      <c r="E387" s="13">
        <f t="shared" si="26"/>
        <v>81684.705882352951</v>
      </c>
      <c r="F387" s="47">
        <f t="shared" ref="F387:F393" si="27">E387*0.19</f>
        <v>15520.094117647061</v>
      </c>
      <c r="G387" s="15">
        <v>97204.800000000003</v>
      </c>
    </row>
    <row r="388" spans="1:7" ht="16.5" thickBot="1" x14ac:dyDescent="0.3">
      <c r="A388" s="56" t="s">
        <v>16</v>
      </c>
      <c r="B388" s="61" t="s">
        <v>400</v>
      </c>
      <c r="C388" s="50"/>
      <c r="D388" s="51">
        <v>43830</v>
      </c>
      <c r="E388" s="39">
        <f t="shared" si="26"/>
        <v>81777.882352941175</v>
      </c>
      <c r="F388" s="52">
        <f t="shared" si="27"/>
        <v>15537.797647058824</v>
      </c>
      <c r="G388" s="40">
        <v>97315.68</v>
      </c>
    </row>
    <row r="389" spans="1:7" ht="16.5" thickBot="1" x14ac:dyDescent="0.3">
      <c r="A389" s="55" t="s">
        <v>16</v>
      </c>
      <c r="B389" s="60" t="s">
        <v>401</v>
      </c>
      <c r="C389" s="46"/>
      <c r="D389" s="69">
        <v>43830</v>
      </c>
      <c r="E389" s="13">
        <f t="shared" si="26"/>
        <v>81871.058823529413</v>
      </c>
      <c r="F389" s="47">
        <f t="shared" si="27"/>
        <v>15555.501176470589</v>
      </c>
      <c r="G389" s="15">
        <v>97426.559999999998</v>
      </c>
    </row>
    <row r="390" spans="1:7" ht="16.5" thickBot="1" x14ac:dyDescent="0.3">
      <c r="A390" s="56" t="s">
        <v>16</v>
      </c>
      <c r="B390" s="61" t="s">
        <v>402</v>
      </c>
      <c r="C390" s="50"/>
      <c r="D390" s="51">
        <v>43830</v>
      </c>
      <c r="E390" s="39">
        <f t="shared" si="26"/>
        <v>82041.882352941175</v>
      </c>
      <c r="F390" s="52">
        <f t="shared" si="27"/>
        <v>15587.957647058824</v>
      </c>
      <c r="G390" s="40">
        <v>97629.84</v>
      </c>
    </row>
    <row r="391" spans="1:7" ht="16.5" thickBot="1" x14ac:dyDescent="0.3">
      <c r="A391" s="55" t="s">
        <v>16</v>
      </c>
      <c r="B391" s="60" t="s">
        <v>403</v>
      </c>
      <c r="C391" s="46"/>
      <c r="D391" s="69">
        <v>43830</v>
      </c>
      <c r="E391" s="13">
        <f t="shared" si="26"/>
        <v>82181.647058823539</v>
      </c>
      <c r="F391" s="47">
        <f t="shared" si="27"/>
        <v>15614.512941176472</v>
      </c>
      <c r="G391" s="15">
        <v>97796.160000000003</v>
      </c>
    </row>
    <row r="392" spans="1:7" ht="16.5" thickBot="1" x14ac:dyDescent="0.3">
      <c r="A392" s="56" t="s">
        <v>16</v>
      </c>
      <c r="B392" s="61" t="s">
        <v>404</v>
      </c>
      <c r="C392" s="50"/>
      <c r="D392" s="51">
        <v>43830</v>
      </c>
      <c r="E392" s="39">
        <f t="shared" si="26"/>
        <v>82274.823529411762</v>
      </c>
      <c r="F392" s="52">
        <f t="shared" si="27"/>
        <v>15632.216470588235</v>
      </c>
      <c r="G392" s="40">
        <v>97907.04</v>
      </c>
    </row>
    <row r="393" spans="1:7" ht="16.5" thickBot="1" x14ac:dyDescent="0.3">
      <c r="A393" s="55" t="s">
        <v>16</v>
      </c>
      <c r="B393" s="60" t="s">
        <v>405</v>
      </c>
      <c r="C393" s="48"/>
      <c r="D393" s="49">
        <v>43830</v>
      </c>
      <c r="E393" s="13">
        <f t="shared" si="26"/>
        <v>83827.76470588235</v>
      </c>
      <c r="F393" s="47">
        <f t="shared" si="27"/>
        <v>15927.275294117646</v>
      </c>
      <c r="G393" s="15">
        <v>99755.04</v>
      </c>
    </row>
    <row r="394" spans="1:7" ht="16.5" thickBot="1" x14ac:dyDescent="0.3">
      <c r="A394" s="20" t="s">
        <v>31</v>
      </c>
      <c r="B394" s="23" t="s">
        <v>406</v>
      </c>
      <c r="C394" s="8"/>
      <c r="D394" s="69">
        <v>43830</v>
      </c>
      <c r="E394" s="13">
        <f t="shared" ref="E394:E411" si="28">(G394-I394)/1.19</f>
        <v>83314.285714285725</v>
      </c>
      <c r="F394" s="13">
        <f t="shared" ref="F394:F399" si="29">E394*0.19</f>
        <v>15829.714285714288</v>
      </c>
      <c r="G394" s="15">
        <v>99144</v>
      </c>
    </row>
    <row r="395" spans="1:7" ht="16.5" thickBot="1" x14ac:dyDescent="0.3">
      <c r="A395" s="35" t="s">
        <v>31</v>
      </c>
      <c r="B395" s="36" t="s">
        <v>407</v>
      </c>
      <c r="C395" s="37"/>
      <c r="D395" s="51">
        <v>43830</v>
      </c>
      <c r="E395" s="39">
        <f t="shared" si="28"/>
        <v>81121.159663865546</v>
      </c>
      <c r="F395" s="39">
        <f t="shared" si="29"/>
        <v>15413.020336134454</v>
      </c>
      <c r="G395" s="40">
        <v>96534.18</v>
      </c>
    </row>
    <row r="396" spans="1:7" ht="16.5" thickBot="1" x14ac:dyDescent="0.3">
      <c r="A396" s="20" t="s">
        <v>32</v>
      </c>
      <c r="B396" s="23" t="s">
        <v>408</v>
      </c>
      <c r="C396" s="8"/>
      <c r="D396" s="69">
        <v>43830</v>
      </c>
      <c r="E396" s="13">
        <f t="shared" si="28"/>
        <v>79369.109243697487</v>
      </c>
      <c r="F396" s="13">
        <f t="shared" si="29"/>
        <v>15080.130756302522</v>
      </c>
      <c r="G396" s="15">
        <v>94449.24</v>
      </c>
    </row>
    <row r="397" spans="1:7" ht="16.5" thickBot="1" x14ac:dyDescent="0.3">
      <c r="A397" s="35" t="s">
        <v>31</v>
      </c>
      <c r="B397" s="36" t="s">
        <v>409</v>
      </c>
      <c r="C397" s="37"/>
      <c r="D397" s="51">
        <v>43830</v>
      </c>
      <c r="E397" s="39">
        <f t="shared" si="28"/>
        <v>81648</v>
      </c>
      <c r="F397" s="39">
        <f t="shared" si="29"/>
        <v>15513.12</v>
      </c>
      <c r="G397" s="40">
        <v>97161.12</v>
      </c>
    </row>
    <row r="398" spans="1:7" ht="16.5" thickBot="1" x14ac:dyDescent="0.3">
      <c r="A398" s="20" t="s">
        <v>31</v>
      </c>
      <c r="B398" s="23" t="s">
        <v>410</v>
      </c>
      <c r="C398" s="8"/>
      <c r="D398" s="69">
        <v>43830</v>
      </c>
      <c r="E398" s="13">
        <f t="shared" si="28"/>
        <v>82370.873949579836</v>
      </c>
      <c r="F398" s="13">
        <f t="shared" si="29"/>
        <v>15650.466050420169</v>
      </c>
      <c r="G398" s="15">
        <v>98021.34</v>
      </c>
    </row>
    <row r="399" spans="1:7" ht="16.5" thickBot="1" x14ac:dyDescent="0.3">
      <c r="A399" s="35" t="s">
        <v>30</v>
      </c>
      <c r="B399" s="36" t="s">
        <v>411</v>
      </c>
      <c r="C399" s="37"/>
      <c r="D399" s="51">
        <v>43830</v>
      </c>
      <c r="E399" s="39">
        <f t="shared" si="28"/>
        <v>83607.613445378156</v>
      </c>
      <c r="F399" s="39">
        <f t="shared" si="29"/>
        <v>15885.446554621851</v>
      </c>
      <c r="G399" s="40">
        <v>99493.06</v>
      </c>
    </row>
    <row r="400" spans="1:7" ht="16.5" thickBot="1" x14ac:dyDescent="0.3">
      <c r="A400" s="20" t="s">
        <v>30</v>
      </c>
      <c r="B400" s="23" t="s">
        <v>412</v>
      </c>
      <c r="C400" s="8"/>
      <c r="D400" s="69">
        <v>43830</v>
      </c>
      <c r="E400" s="13">
        <f t="shared" si="28"/>
        <v>83183.840336134468</v>
      </c>
      <c r="F400" s="13">
        <f t="shared" ref="F400:F422" si="30">E400*0.19</f>
        <v>15804.929663865549</v>
      </c>
      <c r="G400" s="15">
        <v>98988.77</v>
      </c>
    </row>
    <row r="401" spans="1:7" ht="16.5" thickBot="1" x14ac:dyDescent="0.3">
      <c r="A401" s="35" t="s">
        <v>16</v>
      </c>
      <c r="B401" s="36" t="s">
        <v>413</v>
      </c>
      <c r="C401" s="37"/>
      <c r="D401" s="51">
        <v>43830</v>
      </c>
      <c r="E401" s="39">
        <f t="shared" si="28"/>
        <v>82492.23529411765</v>
      </c>
      <c r="F401" s="39">
        <f t="shared" si="30"/>
        <v>15673.524705882353</v>
      </c>
      <c r="G401" s="40">
        <v>98165.759999999995</v>
      </c>
    </row>
    <row r="402" spans="1:7" ht="16.5" thickBot="1" x14ac:dyDescent="0.3">
      <c r="A402" s="20" t="s">
        <v>16</v>
      </c>
      <c r="B402" s="23" t="s">
        <v>414</v>
      </c>
      <c r="C402" s="8"/>
      <c r="D402" s="69">
        <v>43830</v>
      </c>
      <c r="E402" s="13">
        <f t="shared" si="28"/>
        <v>82600.941176470587</v>
      </c>
      <c r="F402" s="13">
        <f t="shared" si="30"/>
        <v>15694.178823529412</v>
      </c>
      <c r="G402" s="15">
        <v>98295.12</v>
      </c>
    </row>
    <row r="403" spans="1:7" ht="16.5" thickBot="1" x14ac:dyDescent="0.3">
      <c r="A403" s="35" t="s">
        <v>16</v>
      </c>
      <c r="B403" s="36" t="s">
        <v>415</v>
      </c>
      <c r="C403" s="37"/>
      <c r="D403" s="51">
        <v>43830</v>
      </c>
      <c r="E403" s="39">
        <f t="shared" si="28"/>
        <v>82507.764705882364</v>
      </c>
      <c r="F403" s="39">
        <f t="shared" si="30"/>
        <v>15676.47529411765</v>
      </c>
      <c r="G403" s="40">
        <v>98184.24</v>
      </c>
    </row>
    <row r="404" spans="1:7" ht="16.5" thickBot="1" x14ac:dyDescent="0.3">
      <c r="A404" s="20" t="s">
        <v>16</v>
      </c>
      <c r="B404" s="23" t="s">
        <v>416</v>
      </c>
      <c r="C404" s="8"/>
      <c r="D404" s="69">
        <v>43830</v>
      </c>
      <c r="E404" s="13">
        <f t="shared" si="28"/>
        <v>81731.294117647063</v>
      </c>
      <c r="F404" s="13">
        <f t="shared" si="30"/>
        <v>15528.945882352942</v>
      </c>
      <c r="G404" s="15">
        <v>97260.24</v>
      </c>
    </row>
    <row r="405" spans="1:7" ht="16.5" thickBot="1" x14ac:dyDescent="0.3">
      <c r="A405" s="35" t="s">
        <v>16</v>
      </c>
      <c r="B405" s="36" t="s">
        <v>417</v>
      </c>
      <c r="C405" s="37"/>
      <c r="D405" s="51">
        <v>43830</v>
      </c>
      <c r="E405" s="39">
        <f t="shared" si="28"/>
        <v>83594.823529411762</v>
      </c>
      <c r="F405" s="39">
        <f t="shared" si="30"/>
        <v>15883.016470588234</v>
      </c>
      <c r="G405" s="40">
        <v>99477.84</v>
      </c>
    </row>
    <row r="406" spans="1:7" ht="16.5" thickBot="1" x14ac:dyDescent="0.3">
      <c r="A406" s="20" t="s">
        <v>16</v>
      </c>
      <c r="B406" s="23" t="s">
        <v>418</v>
      </c>
      <c r="C406" s="8"/>
      <c r="D406" s="69">
        <v>43830</v>
      </c>
      <c r="E406" s="13">
        <f t="shared" si="28"/>
        <v>82973.647058823539</v>
      </c>
      <c r="F406" s="13">
        <f t="shared" si="30"/>
        <v>15764.992941176473</v>
      </c>
      <c r="G406" s="15">
        <v>98738.64</v>
      </c>
    </row>
    <row r="407" spans="1:7" ht="16.5" thickBot="1" x14ac:dyDescent="0.3">
      <c r="A407" s="35" t="s">
        <v>16</v>
      </c>
      <c r="B407" s="36" t="s">
        <v>419</v>
      </c>
      <c r="C407" s="37"/>
      <c r="D407" s="51">
        <v>43830</v>
      </c>
      <c r="E407" s="39">
        <f t="shared" si="28"/>
        <v>82476.705882352937</v>
      </c>
      <c r="F407" s="39">
        <f t="shared" si="30"/>
        <v>15670.574117647058</v>
      </c>
      <c r="G407" s="40">
        <v>98147.28</v>
      </c>
    </row>
    <row r="408" spans="1:7" ht="16.5" thickBot="1" x14ac:dyDescent="0.3">
      <c r="A408" s="57" t="s">
        <v>16</v>
      </c>
      <c r="B408" s="23" t="s">
        <v>420</v>
      </c>
      <c r="C408" s="8"/>
      <c r="D408" s="69">
        <v>43830</v>
      </c>
      <c r="E408" s="13">
        <f t="shared" si="28"/>
        <v>82942.588235294112</v>
      </c>
      <c r="F408" s="13">
        <f t="shared" si="30"/>
        <v>15759.091764705881</v>
      </c>
      <c r="G408" s="15">
        <v>98701.68</v>
      </c>
    </row>
    <row r="409" spans="1:7" ht="16.5" thickBot="1" x14ac:dyDescent="0.3">
      <c r="A409" s="35" t="s">
        <v>16</v>
      </c>
      <c r="B409" s="36" t="s">
        <v>421</v>
      </c>
      <c r="C409" s="37"/>
      <c r="D409" s="51">
        <v>43830</v>
      </c>
      <c r="E409" s="39">
        <f t="shared" si="28"/>
        <v>83610.352941176476</v>
      </c>
      <c r="F409" s="39">
        <f t="shared" si="30"/>
        <v>15885.967058823531</v>
      </c>
      <c r="G409" s="40">
        <v>99496.320000000007</v>
      </c>
    </row>
    <row r="410" spans="1:7" ht="16.5" thickBot="1" x14ac:dyDescent="0.3">
      <c r="A410" s="20" t="s">
        <v>16</v>
      </c>
      <c r="B410" s="23" t="s">
        <v>422</v>
      </c>
      <c r="C410" s="8"/>
      <c r="D410" s="69">
        <v>43830</v>
      </c>
      <c r="E410" s="13">
        <f t="shared" si="28"/>
        <v>82228.23529411765</v>
      </c>
      <c r="F410" s="13">
        <f t="shared" si="30"/>
        <v>15623.364705882354</v>
      </c>
      <c r="G410" s="15">
        <v>97851.6</v>
      </c>
    </row>
    <row r="411" spans="1:7" ht="16.5" thickBot="1" x14ac:dyDescent="0.3">
      <c r="A411" s="35" t="s">
        <v>16</v>
      </c>
      <c r="B411" s="36" t="s">
        <v>414</v>
      </c>
      <c r="C411" s="37"/>
      <c r="D411" s="51">
        <v>43830</v>
      </c>
      <c r="E411" s="39">
        <f t="shared" si="28"/>
        <v>81405.176470588238</v>
      </c>
      <c r="F411" s="39">
        <f t="shared" si="30"/>
        <v>15466.983529411766</v>
      </c>
      <c r="G411" s="40">
        <v>96872.16</v>
      </c>
    </row>
    <row r="412" spans="1:7" ht="16.5" thickBot="1" x14ac:dyDescent="0.3">
      <c r="A412" s="55" t="s">
        <v>16</v>
      </c>
      <c r="B412" s="23" t="s">
        <v>415</v>
      </c>
      <c r="C412" s="8"/>
      <c r="D412" s="69">
        <v>43830</v>
      </c>
      <c r="E412" s="47">
        <f t="shared" ref="E412:E422" si="31">(G412-I412)/1.19</f>
        <v>83796.705882352951</v>
      </c>
      <c r="F412" s="13">
        <f t="shared" si="30"/>
        <v>15921.374117647061</v>
      </c>
      <c r="G412" s="72">
        <v>99718.080000000002</v>
      </c>
    </row>
    <row r="413" spans="1:7" ht="16.5" thickBot="1" x14ac:dyDescent="0.3">
      <c r="A413" s="55" t="s">
        <v>16</v>
      </c>
      <c r="B413" s="23" t="s">
        <v>416</v>
      </c>
      <c r="C413" s="8"/>
      <c r="D413" s="69">
        <v>43830</v>
      </c>
      <c r="E413" s="47">
        <f t="shared" si="31"/>
        <v>81638.319327731107</v>
      </c>
      <c r="F413" s="13">
        <f t="shared" si="30"/>
        <v>15511.280672268911</v>
      </c>
      <c r="G413" s="15">
        <v>97149.6</v>
      </c>
    </row>
    <row r="414" spans="1:7" ht="16.5" thickBot="1" x14ac:dyDescent="0.3">
      <c r="A414" s="56" t="s">
        <v>16</v>
      </c>
      <c r="B414" s="36" t="s">
        <v>417</v>
      </c>
      <c r="C414" s="37"/>
      <c r="D414" s="69">
        <v>43830</v>
      </c>
      <c r="E414" s="52">
        <f t="shared" si="31"/>
        <v>81015.126050420178</v>
      </c>
      <c r="F414" s="39">
        <f t="shared" si="30"/>
        <v>15392.873949579835</v>
      </c>
      <c r="G414" s="40">
        <v>96408</v>
      </c>
    </row>
    <row r="415" spans="1:7" ht="16.5" thickBot="1" x14ac:dyDescent="0.3">
      <c r="A415" s="55" t="s">
        <v>16</v>
      </c>
      <c r="B415" s="23" t="s">
        <v>418</v>
      </c>
      <c r="C415" s="8"/>
      <c r="D415" s="25">
        <v>43830</v>
      </c>
      <c r="E415" s="47">
        <f t="shared" si="31"/>
        <v>81987.31092436974</v>
      </c>
      <c r="F415" s="13">
        <f t="shared" si="30"/>
        <v>15577.589075630251</v>
      </c>
      <c r="G415" s="15">
        <v>97564.9</v>
      </c>
    </row>
    <row r="416" spans="1:7" ht="16.5" thickBot="1" x14ac:dyDescent="0.3">
      <c r="A416" s="55" t="s">
        <v>16</v>
      </c>
      <c r="B416" s="23" t="s">
        <v>419</v>
      </c>
      <c r="C416" s="8"/>
      <c r="D416" s="69">
        <v>43830</v>
      </c>
      <c r="E416" s="47">
        <f t="shared" si="31"/>
        <v>83233.697478991598</v>
      </c>
      <c r="F416" s="13">
        <f t="shared" si="30"/>
        <v>15814.402521008404</v>
      </c>
      <c r="G416" s="15">
        <v>99048.1</v>
      </c>
    </row>
    <row r="417" spans="1:7" ht="16.5" thickBot="1" x14ac:dyDescent="0.3">
      <c r="A417" s="55" t="s">
        <v>16</v>
      </c>
      <c r="B417" s="23" t="s">
        <v>420</v>
      </c>
      <c r="C417" s="8"/>
      <c r="D417" s="70">
        <v>43830</v>
      </c>
      <c r="E417" s="47">
        <f t="shared" si="31"/>
        <v>83183.840336134468</v>
      </c>
      <c r="F417" s="13">
        <f t="shared" si="30"/>
        <v>15804.929663865549</v>
      </c>
      <c r="G417" s="15">
        <v>98988.77</v>
      </c>
    </row>
    <row r="418" spans="1:7" ht="16.5" thickBot="1" x14ac:dyDescent="0.3">
      <c r="A418" s="56" t="s">
        <v>16</v>
      </c>
      <c r="B418" s="36" t="s">
        <v>421</v>
      </c>
      <c r="C418" s="37"/>
      <c r="D418" s="69">
        <v>43830</v>
      </c>
      <c r="E418" s="52">
        <f t="shared" si="31"/>
        <v>83133.983193277323</v>
      </c>
      <c r="F418" s="39">
        <f t="shared" si="30"/>
        <v>15795.456806722692</v>
      </c>
      <c r="G418" s="40">
        <v>98929.44</v>
      </c>
    </row>
    <row r="419" spans="1:7" ht="16.5" thickBot="1" x14ac:dyDescent="0.3">
      <c r="A419" s="55" t="s">
        <v>16</v>
      </c>
      <c r="B419" s="23" t="s">
        <v>422</v>
      </c>
      <c r="C419" s="8"/>
      <c r="D419" s="70">
        <v>43830</v>
      </c>
      <c r="E419" s="47">
        <f t="shared" si="31"/>
        <v>83507.899159663866</v>
      </c>
      <c r="F419" s="13">
        <f t="shared" si="30"/>
        <v>15866.500840336135</v>
      </c>
      <c r="G419" s="15">
        <v>99374.399999999994</v>
      </c>
    </row>
    <row r="420" spans="1:7" ht="16.5" thickBot="1" x14ac:dyDescent="0.3">
      <c r="A420" s="56" t="s">
        <v>16</v>
      </c>
      <c r="B420" s="36" t="s">
        <v>423</v>
      </c>
      <c r="C420" s="37"/>
      <c r="D420" s="69">
        <v>43830</v>
      </c>
      <c r="E420" s="52">
        <f t="shared" si="31"/>
        <v>83881.815126050424</v>
      </c>
      <c r="F420" s="39">
        <f t="shared" si="30"/>
        <v>15937.544873949581</v>
      </c>
      <c r="G420" s="40">
        <v>99819.36</v>
      </c>
    </row>
    <row r="421" spans="1:7" ht="16.5" thickBot="1" x14ac:dyDescent="0.3">
      <c r="A421" s="55" t="s">
        <v>16</v>
      </c>
      <c r="B421" s="23" t="s">
        <v>424</v>
      </c>
      <c r="C421" s="8"/>
      <c r="D421" s="70">
        <v>43830</v>
      </c>
      <c r="E421" s="47">
        <f t="shared" si="31"/>
        <v>83931.672268907569</v>
      </c>
      <c r="F421" s="13">
        <f t="shared" si="30"/>
        <v>15947.017731092439</v>
      </c>
      <c r="G421" s="15">
        <v>99878.69</v>
      </c>
    </row>
    <row r="422" spans="1:7" ht="16.5" thickBot="1" x14ac:dyDescent="0.3">
      <c r="A422" s="62" t="s">
        <v>16</v>
      </c>
      <c r="B422" s="63" t="s">
        <v>425</v>
      </c>
      <c r="C422" s="64"/>
      <c r="D422" s="69">
        <v>43830</v>
      </c>
      <c r="E422" s="66">
        <f t="shared" si="31"/>
        <v>83956.596638655465</v>
      </c>
      <c r="F422" s="67">
        <f t="shared" si="30"/>
        <v>15951.753361344539</v>
      </c>
      <c r="G422" s="68">
        <v>99908.35</v>
      </c>
    </row>
    <row r="423" spans="1:7" ht="19.5" thickBot="1" x14ac:dyDescent="0.35">
      <c r="A423" s="86"/>
      <c r="B423" s="87"/>
      <c r="C423" s="87"/>
      <c r="D423" s="84"/>
      <c r="E423" s="79" t="s">
        <v>341</v>
      </c>
      <c r="F423" s="107">
        <f>F236+G237+G238+G239+G240+G241+G242+G243+G244+G245+G246+G247+G248+G249+G250+G251+G252+G253+G254+G255+G256+G257+G258+G259+G260+G261+G262+G263+G264+G265+G266+G267+G268+G269+G270+G271+G272+G273++G274+G275+G276+G277+G278+G279+G280+G281+G282+G283++G284+G285+G286+G287+G288+G289+G290+G291+G292+G293+G294+G295+G296+G297+G298+G299+G300+G301+G302+G303+G304+G305++G306+G307+G308+G309+G310+G311+G312+G313+G314+G315+G316+G317+G318+G319+G320+G321+G322+G323+G324++G325+G326+G327+G328+G329+G330+G331+G332+G333+G334+G335+G336+G337+G338+G339++G340+G341+G342+G343+G344+G345+G346+G347+G348+G349+G350+G351+G352+G353+G354+G355+G356+G357+G358+G359+G360+G361+G362++G363+G364+G365+G366+G367+G368+G369+G370+G371+G372+G373+G374+G375+G376+G377+G378+G379+G380+G381+G382+G383+G384+G385+G386+G387+G388+G389+G390+G391+G392+G393+G394+G395+G396+G397++G398+G399+G400+G401+G402+G403+G404+G405+G406+G407+G408+G409+G410+G411+G412+G413+G414+G415+G416+G417+G418+G419+G420+G421+G422</f>
        <v>40040693.710000008</v>
      </c>
      <c r="G423" s="108"/>
    </row>
    <row r="424" spans="1:7" ht="16.5" thickBot="1" x14ac:dyDescent="0.3">
      <c r="A424" s="20" t="s">
        <v>16</v>
      </c>
      <c r="B424" s="23" t="s">
        <v>426</v>
      </c>
      <c r="C424" s="8"/>
      <c r="D424" s="69">
        <v>43830</v>
      </c>
      <c r="E424" s="81">
        <f t="shared" ref="E424:E477" si="32">(G424-I424)/1.19</f>
        <v>82492.23529411765</v>
      </c>
      <c r="F424" s="13">
        <f t="shared" ref="F424:F439" si="33">E424*0.19</f>
        <v>15673.524705882353</v>
      </c>
      <c r="G424" s="15">
        <v>98165.759999999995</v>
      </c>
    </row>
    <row r="425" spans="1:7" ht="16.5" thickBot="1" x14ac:dyDescent="0.3">
      <c r="A425" s="20" t="s">
        <v>16</v>
      </c>
      <c r="B425" s="23" t="s">
        <v>427</v>
      </c>
      <c r="C425" s="8"/>
      <c r="D425" s="70">
        <v>43830</v>
      </c>
      <c r="E425" s="81">
        <f t="shared" si="32"/>
        <v>82274.823529411762</v>
      </c>
      <c r="F425" s="13">
        <f t="shared" si="33"/>
        <v>15632.216470588235</v>
      </c>
      <c r="G425" s="15">
        <v>97907.04</v>
      </c>
    </row>
    <row r="426" spans="1:7" ht="16.5" thickBot="1" x14ac:dyDescent="0.3">
      <c r="A426" s="20" t="s">
        <v>16</v>
      </c>
      <c r="B426" s="23" t="s">
        <v>428</v>
      </c>
      <c r="C426" s="8"/>
      <c r="D426" s="69">
        <v>43830</v>
      </c>
      <c r="E426" s="81">
        <f t="shared" si="32"/>
        <v>83858.823529411762</v>
      </c>
      <c r="F426" s="13">
        <f t="shared" si="33"/>
        <v>15933.176470588234</v>
      </c>
      <c r="G426" s="15">
        <v>99792</v>
      </c>
    </row>
    <row r="427" spans="1:7" ht="16.5" thickBot="1" x14ac:dyDescent="0.3">
      <c r="A427" s="75" t="s">
        <v>16</v>
      </c>
      <c r="B427" s="63" t="s">
        <v>429</v>
      </c>
      <c r="C427" s="64"/>
      <c r="D427" s="70">
        <v>43830</v>
      </c>
      <c r="E427" s="82">
        <f t="shared" si="32"/>
        <v>83889.882352941189</v>
      </c>
      <c r="F427" s="67">
        <f t="shared" si="33"/>
        <v>15939.077647058826</v>
      </c>
      <c r="G427" s="68">
        <v>99828.96</v>
      </c>
    </row>
    <row r="428" spans="1:7" ht="16.5" thickBot="1" x14ac:dyDescent="0.3">
      <c r="A428" s="20" t="s">
        <v>31</v>
      </c>
      <c r="B428" s="23" t="s">
        <v>430</v>
      </c>
      <c r="C428" s="8"/>
      <c r="D428" s="69">
        <v>43830</v>
      </c>
      <c r="E428" s="81">
        <f t="shared" si="32"/>
        <v>83314.285714285725</v>
      </c>
      <c r="F428" s="13">
        <f t="shared" si="33"/>
        <v>15829.714285714288</v>
      </c>
      <c r="G428" s="15">
        <v>99144</v>
      </c>
    </row>
    <row r="429" spans="1:7" ht="16.5" thickBot="1" x14ac:dyDescent="0.3">
      <c r="A429" s="44" t="s">
        <v>31</v>
      </c>
      <c r="B429" s="45" t="s">
        <v>431</v>
      </c>
      <c r="C429" s="46"/>
      <c r="D429" s="70">
        <v>43830</v>
      </c>
      <c r="E429" s="81">
        <f t="shared" si="32"/>
        <v>83106</v>
      </c>
      <c r="F429" s="47">
        <f t="shared" si="33"/>
        <v>15790.14</v>
      </c>
      <c r="G429" s="15">
        <v>98896.14</v>
      </c>
    </row>
    <row r="430" spans="1:7" ht="16.5" thickBot="1" x14ac:dyDescent="0.3">
      <c r="A430" s="20" t="s">
        <v>31</v>
      </c>
      <c r="B430" s="23" t="s">
        <v>432</v>
      </c>
      <c r="C430" s="8"/>
      <c r="D430" s="69">
        <v>43830</v>
      </c>
      <c r="E430" s="81">
        <f t="shared" si="32"/>
        <v>83926.890756302528</v>
      </c>
      <c r="F430" s="13">
        <f t="shared" si="33"/>
        <v>15946.109243697481</v>
      </c>
      <c r="G430" s="15">
        <v>99873</v>
      </c>
    </row>
    <row r="431" spans="1:7" ht="16.5" thickBot="1" x14ac:dyDescent="0.3">
      <c r="A431" s="35" t="s">
        <v>31</v>
      </c>
      <c r="B431" s="36" t="s">
        <v>433</v>
      </c>
      <c r="C431" s="37"/>
      <c r="D431" s="70">
        <v>43830</v>
      </c>
      <c r="E431" s="83">
        <f t="shared" si="32"/>
        <v>83461.310924369755</v>
      </c>
      <c r="F431" s="39">
        <f t="shared" si="33"/>
        <v>15857.649075630254</v>
      </c>
      <c r="G431" s="40">
        <v>99318.96</v>
      </c>
    </row>
    <row r="432" spans="1:7" ht="16.5" thickBot="1" x14ac:dyDescent="0.3">
      <c r="A432" s="20" t="s">
        <v>31</v>
      </c>
      <c r="B432" s="23" t="s">
        <v>434</v>
      </c>
      <c r="C432" s="8"/>
      <c r="D432" s="69">
        <v>43830</v>
      </c>
      <c r="E432" s="81">
        <f t="shared" si="32"/>
        <v>83424.554621848743</v>
      </c>
      <c r="F432" s="13">
        <f t="shared" si="33"/>
        <v>15850.665378151261</v>
      </c>
      <c r="G432" s="15">
        <v>99275.22</v>
      </c>
    </row>
    <row r="433" spans="1:7" ht="16.5" thickBot="1" x14ac:dyDescent="0.3">
      <c r="A433" s="35" t="s">
        <v>31</v>
      </c>
      <c r="B433" s="36" t="s">
        <v>435</v>
      </c>
      <c r="C433" s="37"/>
      <c r="D433" s="70">
        <v>43830</v>
      </c>
      <c r="E433" s="83">
        <f t="shared" si="32"/>
        <v>83338.789915966394</v>
      </c>
      <c r="F433" s="39">
        <f t="shared" si="33"/>
        <v>15834.370084033615</v>
      </c>
      <c r="G433" s="40">
        <v>99173.16</v>
      </c>
    </row>
    <row r="434" spans="1:7" ht="16.5" thickBot="1" x14ac:dyDescent="0.3">
      <c r="A434" s="20" t="s">
        <v>31</v>
      </c>
      <c r="B434" s="23" t="s">
        <v>436</v>
      </c>
      <c r="C434" s="8"/>
      <c r="D434" s="69">
        <v>43830</v>
      </c>
      <c r="E434" s="81">
        <f t="shared" si="32"/>
        <v>83326.537815126052</v>
      </c>
      <c r="F434" s="13">
        <f t="shared" si="33"/>
        <v>15832.04218487395</v>
      </c>
      <c r="G434" s="15">
        <v>99158.58</v>
      </c>
    </row>
    <row r="435" spans="1:7" ht="16.5" thickBot="1" x14ac:dyDescent="0.3">
      <c r="A435" s="20" t="s">
        <v>31</v>
      </c>
      <c r="B435" s="23" t="s">
        <v>437</v>
      </c>
      <c r="C435" s="8"/>
      <c r="D435" s="70">
        <v>43830</v>
      </c>
      <c r="E435" s="81">
        <f t="shared" si="32"/>
        <v>83081.495798319331</v>
      </c>
      <c r="F435" s="13">
        <f t="shared" si="33"/>
        <v>15785.484201680672</v>
      </c>
      <c r="G435" s="15">
        <v>98866.98</v>
      </c>
    </row>
    <row r="436" spans="1:7" ht="16.5" thickBot="1" x14ac:dyDescent="0.3">
      <c r="A436" s="20" t="s">
        <v>32</v>
      </c>
      <c r="B436" s="23" t="s">
        <v>438</v>
      </c>
      <c r="C436" s="8"/>
      <c r="D436" s="69">
        <v>43830</v>
      </c>
      <c r="E436" s="81">
        <f t="shared" si="32"/>
        <v>79369.109243697487</v>
      </c>
      <c r="F436" s="13">
        <f t="shared" si="33"/>
        <v>15080.130756302522</v>
      </c>
      <c r="G436" s="15">
        <v>94449.24</v>
      </c>
    </row>
    <row r="437" spans="1:7" ht="16.5" thickBot="1" x14ac:dyDescent="0.3">
      <c r="A437" s="35" t="s">
        <v>31</v>
      </c>
      <c r="B437" s="36" t="s">
        <v>439</v>
      </c>
      <c r="C437" s="37"/>
      <c r="D437" s="70">
        <v>43830</v>
      </c>
      <c r="E437" s="83">
        <f t="shared" si="32"/>
        <v>81648</v>
      </c>
      <c r="F437" s="39">
        <f t="shared" si="33"/>
        <v>15513.12</v>
      </c>
      <c r="G437" s="40">
        <v>97161.12</v>
      </c>
    </row>
    <row r="438" spans="1:7" ht="16.5" thickBot="1" x14ac:dyDescent="0.3">
      <c r="A438" s="20" t="s">
        <v>31</v>
      </c>
      <c r="B438" s="23" t="s">
        <v>440</v>
      </c>
      <c r="C438" s="8"/>
      <c r="D438" s="69">
        <v>43830</v>
      </c>
      <c r="E438" s="81">
        <f t="shared" si="32"/>
        <v>82370.873949579836</v>
      </c>
      <c r="F438" s="13">
        <f t="shared" si="33"/>
        <v>15650.466050420169</v>
      </c>
      <c r="G438" s="15">
        <v>98021.34</v>
      </c>
    </row>
    <row r="439" spans="1:7" ht="16.5" thickBot="1" x14ac:dyDescent="0.3">
      <c r="A439" s="35" t="s">
        <v>30</v>
      </c>
      <c r="B439" s="36" t="s">
        <v>441</v>
      </c>
      <c r="C439" s="37"/>
      <c r="D439" s="70">
        <v>43830</v>
      </c>
      <c r="E439" s="83">
        <f t="shared" si="32"/>
        <v>83607.613445378156</v>
      </c>
      <c r="F439" s="39">
        <f t="shared" si="33"/>
        <v>15885.446554621851</v>
      </c>
      <c r="G439" s="40">
        <v>99493.06</v>
      </c>
    </row>
    <row r="440" spans="1:7" ht="16.5" thickBot="1" x14ac:dyDescent="0.3">
      <c r="A440" s="20" t="s">
        <v>30</v>
      </c>
      <c r="B440" s="23" t="s">
        <v>442</v>
      </c>
      <c r="C440" s="8"/>
      <c r="D440" s="69">
        <v>43830</v>
      </c>
      <c r="E440" s="81">
        <f t="shared" si="32"/>
        <v>83183.840336134468</v>
      </c>
      <c r="F440" s="13">
        <f>E440*0.19</f>
        <v>15804.929663865549</v>
      </c>
      <c r="G440" s="15">
        <v>98988.77</v>
      </c>
    </row>
    <row r="441" spans="1:7" ht="16.5" thickBot="1" x14ac:dyDescent="0.3">
      <c r="A441" s="35" t="s">
        <v>16</v>
      </c>
      <c r="B441" s="36" t="s">
        <v>443</v>
      </c>
      <c r="C441" s="37"/>
      <c r="D441" s="70">
        <v>43830</v>
      </c>
      <c r="E441" s="83">
        <f t="shared" si="32"/>
        <v>83594.823529411762</v>
      </c>
      <c r="F441" s="39">
        <f t="shared" ref="F441:F477" si="34">E441*0.19</f>
        <v>15883.016470588234</v>
      </c>
      <c r="G441" s="40">
        <v>99477.84</v>
      </c>
    </row>
    <row r="442" spans="1:7" ht="16.5" thickBot="1" x14ac:dyDescent="0.3">
      <c r="A442" s="88" t="s">
        <v>16</v>
      </c>
      <c r="B442" s="89" t="s">
        <v>444</v>
      </c>
      <c r="C442" s="90"/>
      <c r="D442" s="91">
        <v>43830</v>
      </c>
      <c r="E442" s="92">
        <f t="shared" si="32"/>
        <v>82973.647058823539</v>
      </c>
      <c r="F442" s="93">
        <f t="shared" si="34"/>
        <v>15764.992941176473</v>
      </c>
      <c r="G442" s="94">
        <v>98738.64</v>
      </c>
    </row>
    <row r="443" spans="1:7" ht="16.5" thickBot="1" x14ac:dyDescent="0.3">
      <c r="A443" s="20" t="s">
        <v>16</v>
      </c>
      <c r="B443" s="23" t="s">
        <v>445</v>
      </c>
      <c r="C443" s="8"/>
      <c r="D443" s="69">
        <v>43830</v>
      </c>
      <c r="E443" s="81">
        <f t="shared" si="32"/>
        <v>82476.705882352937</v>
      </c>
      <c r="F443" s="13">
        <f t="shared" si="34"/>
        <v>15670.574117647058</v>
      </c>
      <c r="G443" s="15">
        <v>98147.28</v>
      </c>
    </row>
    <row r="444" spans="1:7" ht="16.5" thickBot="1" x14ac:dyDescent="0.3">
      <c r="A444" s="57" t="s">
        <v>16</v>
      </c>
      <c r="B444" s="23" t="s">
        <v>446</v>
      </c>
      <c r="C444" s="8"/>
      <c r="D444" s="69">
        <v>43830</v>
      </c>
      <c r="E444" s="81">
        <f t="shared" si="32"/>
        <v>82942.588235294112</v>
      </c>
      <c r="F444" s="13">
        <f t="shared" si="34"/>
        <v>15759.091764705881</v>
      </c>
      <c r="G444" s="15">
        <v>98701.68</v>
      </c>
    </row>
    <row r="445" spans="1:7" ht="16.5" thickBot="1" x14ac:dyDescent="0.3">
      <c r="A445" s="35" t="s">
        <v>16</v>
      </c>
      <c r="B445" s="36" t="s">
        <v>447</v>
      </c>
      <c r="C445" s="37"/>
      <c r="D445" s="69">
        <v>43830</v>
      </c>
      <c r="E445" s="83">
        <f t="shared" si="32"/>
        <v>83610.352941176476</v>
      </c>
      <c r="F445" s="39">
        <f t="shared" si="34"/>
        <v>15885.967058823531</v>
      </c>
      <c r="G445" s="40">
        <v>99496.320000000007</v>
      </c>
    </row>
    <row r="446" spans="1:7" ht="16.5" thickBot="1" x14ac:dyDescent="0.3">
      <c r="A446" s="20" t="s">
        <v>16</v>
      </c>
      <c r="B446" s="23" t="s">
        <v>448</v>
      </c>
      <c r="C446" s="8"/>
      <c r="D446" s="70">
        <v>43830</v>
      </c>
      <c r="E446" s="81">
        <f t="shared" si="32"/>
        <v>83594.823529411762</v>
      </c>
      <c r="F446" s="13">
        <f t="shared" si="34"/>
        <v>15883.016470588234</v>
      </c>
      <c r="G446" s="15">
        <v>99477.84</v>
      </c>
    </row>
    <row r="447" spans="1:7" ht="16.5" thickBot="1" x14ac:dyDescent="0.3">
      <c r="A447" s="20" t="s">
        <v>16</v>
      </c>
      <c r="B447" s="23" t="s">
        <v>449</v>
      </c>
      <c r="C447" s="8"/>
      <c r="D447" s="69">
        <v>43830</v>
      </c>
      <c r="E447" s="81">
        <f t="shared" si="32"/>
        <v>82973.647058823539</v>
      </c>
      <c r="F447" s="13">
        <f t="shared" si="34"/>
        <v>15764.992941176473</v>
      </c>
      <c r="G447" s="15">
        <v>98738.64</v>
      </c>
    </row>
    <row r="448" spans="1:7" ht="16.5" thickBot="1" x14ac:dyDescent="0.3">
      <c r="A448" s="35" t="s">
        <v>16</v>
      </c>
      <c r="B448" s="36" t="s">
        <v>450</v>
      </c>
      <c r="C448" s="37"/>
      <c r="D448" s="70">
        <v>43830</v>
      </c>
      <c r="E448" s="83">
        <f t="shared" si="32"/>
        <v>82476.705882352937</v>
      </c>
      <c r="F448" s="39">
        <f t="shared" si="34"/>
        <v>15670.574117647058</v>
      </c>
      <c r="G448" s="40">
        <v>98147.28</v>
      </c>
    </row>
    <row r="449" spans="1:7" ht="16.5" thickBot="1" x14ac:dyDescent="0.3">
      <c r="A449" s="57" t="s">
        <v>16</v>
      </c>
      <c r="B449" s="23" t="s">
        <v>451</v>
      </c>
      <c r="C449" s="8"/>
      <c r="D449" s="69">
        <v>43830</v>
      </c>
      <c r="E449" s="81">
        <f t="shared" si="32"/>
        <v>82942.588235294112</v>
      </c>
      <c r="F449" s="13">
        <f t="shared" si="34"/>
        <v>15759.091764705881</v>
      </c>
      <c r="G449" s="15">
        <v>98701.68</v>
      </c>
    </row>
    <row r="450" spans="1:7" ht="16.5" thickBot="1" x14ac:dyDescent="0.3">
      <c r="A450" s="35" t="s">
        <v>16</v>
      </c>
      <c r="B450" s="36" t="s">
        <v>452</v>
      </c>
      <c r="C450" s="37"/>
      <c r="D450" s="70">
        <v>43830</v>
      </c>
      <c r="E450" s="83">
        <f t="shared" si="32"/>
        <v>83610.352941176476</v>
      </c>
      <c r="F450" s="39">
        <f t="shared" si="34"/>
        <v>15885.967058823531</v>
      </c>
      <c r="G450" s="40">
        <v>99496.320000000007</v>
      </c>
    </row>
    <row r="451" spans="1:7" ht="16.5" thickBot="1" x14ac:dyDescent="0.3">
      <c r="A451" s="55" t="s">
        <v>30</v>
      </c>
      <c r="B451" s="23" t="s">
        <v>453</v>
      </c>
      <c r="C451" s="8"/>
      <c r="D451" s="69">
        <v>43830</v>
      </c>
      <c r="E451" s="47">
        <f t="shared" si="32"/>
        <v>82971.949579831926</v>
      </c>
      <c r="F451" s="13">
        <f t="shared" si="34"/>
        <v>15764.670420168066</v>
      </c>
      <c r="G451" s="72">
        <v>98736.62</v>
      </c>
    </row>
    <row r="452" spans="1:7" ht="16.5" thickBot="1" x14ac:dyDescent="0.3">
      <c r="A452" s="20" t="s">
        <v>16</v>
      </c>
      <c r="B452" s="23" t="s">
        <v>454</v>
      </c>
      <c r="C452" s="8"/>
      <c r="D452" s="70">
        <v>43830</v>
      </c>
      <c r="E452" s="81">
        <f t="shared" si="32"/>
        <v>83796.705882352951</v>
      </c>
      <c r="F452" s="13">
        <f t="shared" si="34"/>
        <v>15921.374117647061</v>
      </c>
      <c r="G452" s="15">
        <v>99718.080000000002</v>
      </c>
    </row>
    <row r="453" spans="1:7" ht="16.5" thickBot="1" x14ac:dyDescent="0.3">
      <c r="A453" s="35" t="s">
        <v>16</v>
      </c>
      <c r="B453" s="36" t="s">
        <v>455</v>
      </c>
      <c r="C453" s="37"/>
      <c r="D453" s="69">
        <v>43830</v>
      </c>
      <c r="E453" s="83">
        <f t="shared" si="32"/>
        <v>83843.294117647063</v>
      </c>
      <c r="F453" s="39">
        <f t="shared" si="34"/>
        <v>15930.225882352943</v>
      </c>
      <c r="G453" s="40">
        <v>99773.52</v>
      </c>
    </row>
    <row r="454" spans="1:7" ht="16.5" thickBot="1" x14ac:dyDescent="0.3">
      <c r="A454" s="20" t="s">
        <v>16</v>
      </c>
      <c r="B454" s="23" t="s">
        <v>456</v>
      </c>
      <c r="C454" s="8"/>
      <c r="D454" s="70">
        <v>43830</v>
      </c>
      <c r="E454" s="81">
        <f t="shared" si="32"/>
        <v>83750.117647058825</v>
      </c>
      <c r="F454" s="13">
        <f t="shared" si="34"/>
        <v>15912.522352941178</v>
      </c>
      <c r="G454" s="15">
        <v>99662.64</v>
      </c>
    </row>
    <row r="455" spans="1:7" ht="16.5" thickBot="1" x14ac:dyDescent="0.3">
      <c r="A455" s="20" t="s">
        <v>16</v>
      </c>
      <c r="B455" s="23" t="s">
        <v>457</v>
      </c>
      <c r="C455" s="8"/>
      <c r="D455" s="69">
        <v>43830</v>
      </c>
      <c r="E455" s="81">
        <f t="shared" si="32"/>
        <v>82274.823529411762</v>
      </c>
      <c r="F455" s="13">
        <f t="shared" si="34"/>
        <v>15632.216470588235</v>
      </c>
      <c r="G455" s="15">
        <v>97907.04</v>
      </c>
    </row>
    <row r="456" spans="1:7" ht="16.5" thickBot="1" x14ac:dyDescent="0.3">
      <c r="A456" s="20" t="s">
        <v>16</v>
      </c>
      <c r="B456" s="23" t="s">
        <v>458</v>
      </c>
      <c r="C456" s="8"/>
      <c r="D456" s="70">
        <v>43830</v>
      </c>
      <c r="E456" s="81">
        <f t="shared" si="32"/>
        <v>83858.823529411762</v>
      </c>
      <c r="F456" s="13">
        <f t="shared" si="34"/>
        <v>15933.176470588234</v>
      </c>
      <c r="G456" s="15">
        <v>99792</v>
      </c>
    </row>
    <row r="457" spans="1:7" ht="16.5" thickBot="1" x14ac:dyDescent="0.3">
      <c r="A457" s="20" t="s">
        <v>16</v>
      </c>
      <c r="B457" s="23" t="s">
        <v>459</v>
      </c>
      <c r="C457" s="8"/>
      <c r="D457" s="69">
        <v>43830</v>
      </c>
      <c r="E457" s="81">
        <f t="shared" si="32"/>
        <v>83889.882352941189</v>
      </c>
      <c r="F457" s="13">
        <f t="shared" si="34"/>
        <v>15939.077647058826</v>
      </c>
      <c r="G457" s="15">
        <v>99828.96</v>
      </c>
    </row>
    <row r="458" spans="1:7" ht="16.5" thickBot="1" x14ac:dyDescent="0.3">
      <c r="A458" s="20" t="s">
        <v>31</v>
      </c>
      <c r="B458" s="23" t="s">
        <v>460</v>
      </c>
      <c r="C458" s="8"/>
      <c r="D458" s="69">
        <v>43830</v>
      </c>
      <c r="E458" s="81">
        <f t="shared" si="32"/>
        <v>83314.285714285725</v>
      </c>
      <c r="F458" s="13">
        <f t="shared" si="34"/>
        <v>15829.714285714288</v>
      </c>
      <c r="G458" s="15">
        <v>99144</v>
      </c>
    </row>
    <row r="459" spans="1:7" ht="16.5" thickBot="1" x14ac:dyDescent="0.3">
      <c r="A459" s="20" t="s">
        <v>31</v>
      </c>
      <c r="B459" s="23" t="s">
        <v>461</v>
      </c>
      <c r="C459" s="8"/>
      <c r="D459" s="70">
        <v>43830</v>
      </c>
      <c r="E459" s="81">
        <f t="shared" si="32"/>
        <v>83106</v>
      </c>
      <c r="F459" s="13">
        <f t="shared" si="34"/>
        <v>15790.14</v>
      </c>
      <c r="G459" s="15">
        <v>98896.14</v>
      </c>
    </row>
    <row r="460" spans="1:7" ht="16.5" thickBot="1" x14ac:dyDescent="0.3">
      <c r="A460" s="20" t="s">
        <v>31</v>
      </c>
      <c r="B460" s="23" t="s">
        <v>462</v>
      </c>
      <c r="C460" s="8"/>
      <c r="D460" s="69">
        <v>43830</v>
      </c>
      <c r="E460" s="81">
        <f t="shared" si="32"/>
        <v>81929.798319327747</v>
      </c>
      <c r="F460" s="13">
        <f t="shared" si="34"/>
        <v>15566.661680672272</v>
      </c>
      <c r="G460" s="15">
        <v>97496.46</v>
      </c>
    </row>
    <row r="461" spans="1:7" ht="16.5" thickBot="1" x14ac:dyDescent="0.3">
      <c r="A461" s="35" t="s">
        <v>31</v>
      </c>
      <c r="B461" s="36" t="s">
        <v>463</v>
      </c>
      <c r="C461" s="37"/>
      <c r="D461" s="70">
        <v>43830</v>
      </c>
      <c r="E461" s="83">
        <f t="shared" si="32"/>
        <v>83412.302521008402</v>
      </c>
      <c r="F461" s="39">
        <f t="shared" si="34"/>
        <v>15848.337478991596</v>
      </c>
      <c r="G461" s="40">
        <v>99260.64</v>
      </c>
    </row>
    <row r="462" spans="1:7" ht="16.5" thickBot="1" x14ac:dyDescent="0.3">
      <c r="A462" s="20" t="s">
        <v>31</v>
      </c>
      <c r="B462" s="23" t="s">
        <v>464</v>
      </c>
      <c r="C462" s="8"/>
      <c r="D462" s="69">
        <v>43830</v>
      </c>
      <c r="E462" s="81">
        <f t="shared" si="32"/>
        <v>83449.058823529413</v>
      </c>
      <c r="F462" s="13">
        <f t="shared" si="34"/>
        <v>15855.321176470588</v>
      </c>
      <c r="G462" s="15">
        <v>99304.38</v>
      </c>
    </row>
    <row r="463" spans="1:7" ht="16.5" thickBot="1" x14ac:dyDescent="0.3">
      <c r="A463" s="35" t="s">
        <v>31</v>
      </c>
      <c r="B463" s="36" t="s">
        <v>465</v>
      </c>
      <c r="C463" s="37"/>
      <c r="D463" s="70">
        <v>43830</v>
      </c>
      <c r="E463" s="83">
        <f t="shared" si="32"/>
        <v>83534.823529411777</v>
      </c>
      <c r="F463" s="39">
        <f t="shared" si="34"/>
        <v>15871.616470588238</v>
      </c>
      <c r="G463" s="40">
        <v>99406.44</v>
      </c>
    </row>
    <row r="464" spans="1:7" ht="16.5" thickBot="1" x14ac:dyDescent="0.3">
      <c r="A464" s="20" t="s">
        <v>31</v>
      </c>
      <c r="B464" s="23" t="s">
        <v>466</v>
      </c>
      <c r="C464" s="8"/>
      <c r="D464" s="69">
        <v>43830</v>
      </c>
      <c r="E464" s="81">
        <f t="shared" si="32"/>
        <v>83841.126050420178</v>
      </c>
      <c r="F464" s="13">
        <f t="shared" si="34"/>
        <v>15929.813949579833</v>
      </c>
      <c r="G464" s="15">
        <v>99770.94</v>
      </c>
    </row>
    <row r="465" spans="1:7" ht="16.5" thickBot="1" x14ac:dyDescent="0.3">
      <c r="A465" s="35" t="s">
        <v>31</v>
      </c>
      <c r="B465" s="36" t="s">
        <v>467</v>
      </c>
      <c r="C465" s="37"/>
      <c r="D465" s="70">
        <v>43830</v>
      </c>
      <c r="E465" s="83">
        <f t="shared" si="32"/>
        <v>83939.14285714287</v>
      </c>
      <c r="F465" s="39">
        <f t="shared" si="34"/>
        <v>15948.437142857145</v>
      </c>
      <c r="G465" s="40">
        <v>99887.58</v>
      </c>
    </row>
    <row r="466" spans="1:7" ht="16.5" thickBot="1" x14ac:dyDescent="0.3">
      <c r="A466" s="20" t="s">
        <v>31</v>
      </c>
      <c r="B466" s="23" t="s">
        <v>468</v>
      </c>
      <c r="C466" s="8"/>
      <c r="D466" s="69">
        <v>43830</v>
      </c>
      <c r="E466" s="81">
        <f t="shared" si="32"/>
        <v>83926.890756302528</v>
      </c>
      <c r="F466" s="13">
        <f t="shared" si="34"/>
        <v>15946.109243697481</v>
      </c>
      <c r="G466" s="15">
        <v>99873</v>
      </c>
    </row>
    <row r="467" spans="1:7" ht="16.5" thickBot="1" x14ac:dyDescent="0.3">
      <c r="A467" s="35" t="s">
        <v>31</v>
      </c>
      <c r="B467" s="36" t="s">
        <v>469</v>
      </c>
      <c r="C467" s="37"/>
      <c r="D467" s="70">
        <v>43830</v>
      </c>
      <c r="E467" s="83">
        <f t="shared" si="32"/>
        <v>83461.310924369755</v>
      </c>
      <c r="F467" s="39">
        <f t="shared" si="34"/>
        <v>15857.649075630254</v>
      </c>
      <c r="G467" s="40">
        <v>99318.96</v>
      </c>
    </row>
    <row r="468" spans="1:7" ht="16.5" thickBot="1" x14ac:dyDescent="0.3">
      <c r="A468" s="20" t="s">
        <v>31</v>
      </c>
      <c r="B468" s="23" t="s">
        <v>470</v>
      </c>
      <c r="C468" s="8"/>
      <c r="D468" s="69">
        <v>43830</v>
      </c>
      <c r="E468" s="81">
        <f t="shared" si="32"/>
        <v>83424.554621848743</v>
      </c>
      <c r="F468" s="13">
        <f t="shared" si="34"/>
        <v>15850.665378151261</v>
      </c>
      <c r="G468" s="15">
        <v>99275.22</v>
      </c>
    </row>
    <row r="469" spans="1:7" ht="16.5" thickBot="1" x14ac:dyDescent="0.3">
      <c r="A469" s="35" t="s">
        <v>31</v>
      </c>
      <c r="B469" s="36" t="s">
        <v>471</v>
      </c>
      <c r="C469" s="37"/>
      <c r="D469" s="70">
        <v>43830</v>
      </c>
      <c r="E469" s="83">
        <f t="shared" si="32"/>
        <v>83338.789915966394</v>
      </c>
      <c r="F469" s="39">
        <f t="shared" si="34"/>
        <v>15834.370084033615</v>
      </c>
      <c r="G469" s="40">
        <v>99173.16</v>
      </c>
    </row>
    <row r="470" spans="1:7" ht="16.5" thickBot="1" x14ac:dyDescent="0.3">
      <c r="A470" s="20" t="s">
        <v>31</v>
      </c>
      <c r="B470" s="23" t="s">
        <v>472</v>
      </c>
      <c r="C470" s="8"/>
      <c r="D470" s="69">
        <v>43830</v>
      </c>
      <c r="E470" s="81">
        <f t="shared" si="32"/>
        <v>83326.537815126052</v>
      </c>
      <c r="F470" s="13">
        <f t="shared" si="34"/>
        <v>15832.04218487395</v>
      </c>
      <c r="G470" s="15">
        <v>99158.58</v>
      </c>
    </row>
    <row r="471" spans="1:7" ht="16.5" thickBot="1" x14ac:dyDescent="0.3">
      <c r="A471" s="20" t="s">
        <v>31</v>
      </c>
      <c r="B471" s="23" t="s">
        <v>473</v>
      </c>
      <c r="C471" s="8"/>
      <c r="D471" s="70">
        <v>43830</v>
      </c>
      <c r="E471" s="81">
        <f t="shared" si="32"/>
        <v>83081.495798319331</v>
      </c>
      <c r="F471" s="13">
        <f t="shared" si="34"/>
        <v>15785.484201680672</v>
      </c>
      <c r="G471" s="15">
        <v>98866.98</v>
      </c>
    </row>
    <row r="472" spans="1:7" ht="16.5" thickBot="1" x14ac:dyDescent="0.3">
      <c r="A472" s="35" t="s">
        <v>31</v>
      </c>
      <c r="B472" s="36" t="s">
        <v>474</v>
      </c>
      <c r="C472" s="37"/>
      <c r="D472" s="69">
        <v>43830</v>
      </c>
      <c r="E472" s="83">
        <f t="shared" si="32"/>
        <v>80631.075630252104</v>
      </c>
      <c r="F472" s="39">
        <f t="shared" si="34"/>
        <v>15319.904369747899</v>
      </c>
      <c r="G472" s="40">
        <v>95950.98</v>
      </c>
    </row>
    <row r="473" spans="1:7" ht="16.5" thickBot="1" x14ac:dyDescent="0.3">
      <c r="A473" s="20" t="s">
        <v>31</v>
      </c>
      <c r="B473" s="23" t="s">
        <v>475</v>
      </c>
      <c r="C473" s="8"/>
      <c r="D473" s="70">
        <v>43830</v>
      </c>
      <c r="E473" s="81">
        <f t="shared" si="32"/>
        <v>81243.680672268907</v>
      </c>
      <c r="F473" s="13">
        <f t="shared" si="34"/>
        <v>15436.299327731092</v>
      </c>
      <c r="G473" s="15">
        <v>96679.98</v>
      </c>
    </row>
    <row r="474" spans="1:7" ht="16.5" thickBot="1" x14ac:dyDescent="0.3">
      <c r="A474" s="35" t="s">
        <v>30</v>
      </c>
      <c r="B474" s="36" t="s">
        <v>476</v>
      </c>
      <c r="C474" s="37"/>
      <c r="D474" s="69">
        <v>43830</v>
      </c>
      <c r="E474" s="83">
        <f t="shared" si="32"/>
        <v>82448.470588235286</v>
      </c>
      <c r="F474" s="39">
        <f t="shared" si="34"/>
        <v>15665.209411764705</v>
      </c>
      <c r="G474" s="40">
        <v>98113.68</v>
      </c>
    </row>
    <row r="475" spans="1:7" ht="16.5" thickBot="1" x14ac:dyDescent="0.3">
      <c r="A475" s="20" t="s">
        <v>30</v>
      </c>
      <c r="B475" s="23" t="s">
        <v>477</v>
      </c>
      <c r="C475" s="8"/>
      <c r="D475" s="69">
        <v>43830</v>
      </c>
      <c r="E475" s="81">
        <f t="shared" si="32"/>
        <v>82498.327731092431</v>
      </c>
      <c r="F475" s="13">
        <f t="shared" si="34"/>
        <v>15674.682268907562</v>
      </c>
      <c r="G475" s="15">
        <v>98173.01</v>
      </c>
    </row>
    <row r="476" spans="1:7" ht="16.5" thickBot="1" x14ac:dyDescent="0.3">
      <c r="A476" s="35" t="s">
        <v>30</v>
      </c>
      <c r="B476" s="36" t="s">
        <v>478</v>
      </c>
      <c r="C476" s="37"/>
      <c r="D476" s="69">
        <v>43830</v>
      </c>
      <c r="E476" s="83">
        <f t="shared" si="32"/>
        <v>82610.504201680669</v>
      </c>
      <c r="F476" s="39">
        <f t="shared" si="34"/>
        <v>15695.995798319327</v>
      </c>
      <c r="G476" s="40">
        <v>98306.5</v>
      </c>
    </row>
    <row r="477" spans="1:7" ht="16.5" thickBot="1" x14ac:dyDescent="0.3">
      <c r="A477" s="20" t="s">
        <v>30</v>
      </c>
      <c r="B477" s="23" t="s">
        <v>479</v>
      </c>
      <c r="C477" s="8"/>
      <c r="D477" s="65">
        <v>43830</v>
      </c>
      <c r="E477" s="81">
        <f t="shared" si="32"/>
        <v>82722.672268907569</v>
      </c>
      <c r="F477" s="13">
        <f t="shared" si="34"/>
        <v>15717.307731092438</v>
      </c>
      <c r="G477" s="15">
        <v>98439.98</v>
      </c>
    </row>
    <row r="478" spans="1:7" ht="21.75" thickBot="1" x14ac:dyDescent="0.4">
      <c r="A478" s="104" t="s">
        <v>342</v>
      </c>
      <c r="B478" s="105"/>
      <c r="C478" s="105"/>
      <c r="D478" s="105"/>
      <c r="E478" s="106"/>
      <c r="F478" s="102">
        <f>F423+G424+G425+G426+G427+G428+G429+G430+G431+G432+G433++G434+G435+G436+G437+G438+G439+G440+G441+G442+G443+G444+G445+G446+G447+G448+G449+G450+G451+G452+G453+G454+G455+G456+G457+G458+G459+G460+G461+G462+G463+G464+G465+G466+G467+G468+G469+G470+G471+G472+G473+G474+G475+G476+G477</f>
        <v>45377246.029999994</v>
      </c>
      <c r="G478" s="103"/>
    </row>
    <row r="479" spans="1:7" x14ac:dyDescent="0.25">
      <c r="A479" s="95" t="s">
        <v>480</v>
      </c>
      <c r="B479" s="96"/>
      <c r="C479" s="96"/>
      <c r="D479" s="96"/>
      <c r="E479" s="96"/>
      <c r="F479" s="96"/>
      <c r="G479" s="96"/>
    </row>
    <row r="480" spans="1:7" x14ac:dyDescent="0.25">
      <c r="A480" s="97" t="s">
        <v>481</v>
      </c>
      <c r="B480" s="97"/>
      <c r="C480" s="97"/>
      <c r="D480" s="97"/>
      <c r="E480" s="97"/>
      <c r="F480" s="97"/>
      <c r="G480" s="97"/>
    </row>
    <row r="481" spans="1:7" x14ac:dyDescent="0.25">
      <c r="A481" s="97" t="s">
        <v>482</v>
      </c>
      <c r="B481" s="97"/>
      <c r="C481" s="97"/>
      <c r="D481" s="97"/>
      <c r="E481" s="97"/>
      <c r="F481" s="97"/>
      <c r="G481" s="97"/>
    </row>
    <row r="482" spans="1:7" x14ac:dyDescent="0.25">
      <c r="A482" s="97" t="s">
        <v>484</v>
      </c>
      <c r="B482" s="97"/>
      <c r="C482" s="97"/>
      <c r="D482" s="97"/>
      <c r="E482" s="97"/>
      <c r="F482" s="97"/>
      <c r="G482" s="97"/>
    </row>
    <row r="483" spans="1:7" s="85" customFormat="1" x14ac:dyDescent="0.25">
      <c r="A483" s="98" t="s">
        <v>483</v>
      </c>
      <c r="B483" s="98"/>
      <c r="C483" s="98"/>
      <c r="D483" s="98"/>
      <c r="E483" s="98"/>
      <c r="F483" s="98"/>
      <c r="G483" s="98"/>
    </row>
  </sheetData>
  <mergeCells count="25">
    <mergeCell ref="A6:G6"/>
    <mergeCell ref="A12:G12"/>
    <mergeCell ref="A13:B13"/>
    <mergeCell ref="A11:G11"/>
    <mergeCell ref="A7:G7"/>
    <mergeCell ref="A8:G8"/>
    <mergeCell ref="A9:G9"/>
    <mergeCell ref="A10:G10"/>
    <mergeCell ref="A1:G1"/>
    <mergeCell ref="A2:G2"/>
    <mergeCell ref="A3:G3"/>
    <mergeCell ref="A4:G4"/>
    <mergeCell ref="A5:G5"/>
    <mergeCell ref="A109:E109"/>
    <mergeCell ref="A236:E236"/>
    <mergeCell ref="F478:G478"/>
    <mergeCell ref="A478:E478"/>
    <mergeCell ref="F423:G423"/>
    <mergeCell ref="F236:G236"/>
    <mergeCell ref="F109:G109"/>
    <mergeCell ref="A479:G479"/>
    <mergeCell ref="A480:G480"/>
    <mergeCell ref="A481:G481"/>
    <mergeCell ref="A482:G482"/>
    <mergeCell ref="A483:G483"/>
  </mergeCells>
  <pageMargins left="0.7" right="0.7" top="0.28999999999999998" bottom="0.31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DES FACTURES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GG</cp:lastModifiedBy>
  <cp:lastPrinted>2020-06-04T18:21:55Z</cp:lastPrinted>
  <dcterms:created xsi:type="dcterms:W3CDTF">2020-03-23T15:15:55Z</dcterms:created>
  <dcterms:modified xsi:type="dcterms:W3CDTF">2020-06-04T20:14:46Z</dcterms:modified>
</cp:coreProperties>
</file>