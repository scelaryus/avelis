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eur\Desktop\"/>
    </mc:Choice>
  </mc:AlternateContent>
  <xr:revisionPtr revIDLastSave="0" documentId="13_ncr:1_{B84BE93A-6714-4F63-831F-5DC3438D1E7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REANCE GENERALE" sheetId="79" r:id="rId1"/>
    <sheet name="PENALITE" sheetId="81" r:id="rId2"/>
    <sheet name="CREANCE " sheetId="80" r:id="rId3"/>
    <sheet name="AYTUNC" sheetId="16" r:id="rId4"/>
    <sheet name="AYTUNC VRD" sheetId="76" r:id="rId5"/>
    <sheet name="meziani " sheetId="11" r:id="rId6"/>
    <sheet name="new remex btp nouari" sheetId="78" r:id="rId7"/>
    <sheet name="BELAIDI MOHAMED RIADH" sheetId="8" r:id="rId8"/>
    <sheet name="TELMAT" sheetId="13" r:id="rId9"/>
    <sheet name="BENHADAD " sheetId="12" r:id="rId10"/>
    <sheet name="parabole" sheetId="20" r:id="rId11"/>
    <sheet name="MONOCOUCHE SID" sheetId="58" r:id="rId12"/>
    <sheet name="OXXO" sheetId="71" r:id="rId13"/>
    <sheet name="ahmed monocouche " sheetId="33" r:id="rId14"/>
    <sheet name="edoor" sheetId="59" r:id="rId15"/>
    <sheet name=" BIMHA PEINTURE " sheetId="7" r:id="rId16"/>
    <sheet name="BIMHA TERRASSSEMENT" sheetId="69" r:id="rId17"/>
    <sheet name="NOUR JOINT" sheetId="60" r:id="rId18"/>
    <sheet name="PLOMBIER " sheetId="3" r:id="rId19"/>
    <sheet name="SAMIR SOUDEUR " sheetId="4" r:id="rId20"/>
    <sheet name="RAFFA LAHCEN" sheetId="14" r:id="rId21"/>
    <sheet name="DERICHE CUISINE" sheetId="6" r:id="rId22"/>
    <sheet name="ART CUISINE " sheetId="5" r:id="rId23"/>
    <sheet name="BILLEL POSE" sheetId="53" r:id="rId24"/>
    <sheet name="branchement gaz extérieur RT" sheetId="9" r:id="rId25"/>
    <sheet name="ABDELHAFID " sheetId="73" r:id="rId26"/>
    <sheet name="YACHARR" sheetId="40" r:id="rId27"/>
    <sheet name="HAKIM" sheetId="19" r:id="rId28"/>
    <sheet name=" YACINE VOILE" sheetId="74" r:id="rId29"/>
    <sheet name="RAMMAS PASSEREL" sheetId="21" r:id="rId30"/>
    <sheet name="FERHAT GAINE TECHNIQUE " sheetId="18" r:id="rId31"/>
    <sheet name="brahim gaine techniq" sheetId="43" r:id="rId32"/>
  </sheets>
  <definedNames>
    <definedName name="_xlnm.Print_Area" localSheetId="15">' BIMHA PEINTURE '!$A$1:$O$24</definedName>
    <definedName name="_xlnm.Print_Area" localSheetId="28">' YACINE VOILE'!$A$1:$N$22</definedName>
    <definedName name="_xlnm.Print_Area" localSheetId="25">'ABDELHAFID '!$A$1:$M$19</definedName>
    <definedName name="_xlnm.Print_Area" localSheetId="13">'ahmed monocouche '!$A$1:$T$27</definedName>
    <definedName name="_xlnm.Print_Area" localSheetId="22">'ART CUISINE '!$A$1:$P$22</definedName>
    <definedName name="_xlnm.Print_Area" localSheetId="4">'AYTUNC VRD'!$A$1:$N$39</definedName>
    <definedName name="_xlnm.Print_Area" localSheetId="23">'BILLEL POSE'!$A$1:$Q$22</definedName>
    <definedName name="_xlnm.Print_Area" localSheetId="21">'DERICHE CUISINE'!$A$1:$T$27</definedName>
    <definedName name="_xlnm.Print_Area" localSheetId="6">'new remex btp nouari'!$A$1:$M$16</definedName>
    <definedName name="_xlnm.Print_Area" localSheetId="18">'PLOMBIER '!$A$1:$Q$16</definedName>
    <definedName name="_xlnm.Print_Area" localSheetId="20">'RAFFA LAHCEN'!$A$1:$O$14</definedName>
    <definedName name="_xlnm.Print_Area" localSheetId="26">YACHARR!$A$1:$O$25</definedName>
  </definedNames>
  <calcPr calcId="191029"/>
</workbook>
</file>

<file path=xl/calcChain.xml><?xml version="1.0" encoding="utf-8"?>
<calcChain xmlns="http://schemas.openxmlformats.org/spreadsheetml/2006/main">
  <c r="I9" i="81" l="1"/>
  <c r="G9" i="81"/>
  <c r="G10" i="81"/>
  <c r="G8" i="81"/>
  <c r="G7" i="81"/>
  <c r="G11" i="81"/>
  <c r="G15" i="81"/>
  <c r="G12" i="81"/>
  <c r="G13" i="81"/>
  <c r="G18" i="81"/>
  <c r="I18" i="81"/>
  <c r="I17" i="81"/>
  <c r="I16" i="81"/>
  <c r="I15" i="81"/>
  <c r="I14" i="81"/>
  <c r="I11" i="81"/>
  <c r="I12" i="81"/>
  <c r="I13" i="81"/>
  <c r="I10" i="81"/>
  <c r="I8" i="81"/>
  <c r="I7" i="81"/>
  <c r="G14" i="81"/>
  <c r="G16" i="81"/>
  <c r="G17" i="81"/>
  <c r="E7" i="81"/>
  <c r="E8" i="81"/>
  <c r="B5" i="59"/>
  <c r="M7" i="4"/>
  <c r="M7" i="5"/>
  <c r="F8" i="74"/>
  <c r="M8" i="74"/>
  <c r="K8" i="74"/>
  <c r="O8" i="6"/>
  <c r="L8" i="6"/>
  <c r="M8" i="6"/>
  <c r="M30" i="79"/>
  <c r="N30" i="79" s="1"/>
  <c r="N24" i="79"/>
  <c r="E24" i="79"/>
  <c r="M24" i="79"/>
  <c r="I28" i="79"/>
  <c r="I24" i="79"/>
  <c r="M7" i="8"/>
  <c r="M19" i="79"/>
  <c r="H14" i="79"/>
  <c r="I14" i="79" s="1"/>
  <c r="H11" i="79"/>
  <c r="M8" i="79" s="1"/>
  <c r="E8" i="79"/>
  <c r="G8" i="12"/>
  <c r="K8" i="12"/>
  <c r="K8" i="60"/>
  <c r="J8" i="60"/>
  <c r="K11" i="43"/>
  <c r="E11" i="43"/>
  <c r="J11" i="43"/>
  <c r="M7" i="3"/>
  <c r="K7" i="3"/>
  <c r="E7" i="3"/>
  <c r="N7" i="3" s="1"/>
  <c r="L7" i="53"/>
  <c r="J7" i="53"/>
  <c r="K7" i="4"/>
  <c r="M21" i="21"/>
  <c r="K21" i="21"/>
  <c r="I21" i="21"/>
  <c r="M9" i="21"/>
  <c r="K9" i="21"/>
  <c r="M7" i="9"/>
  <c r="M5" i="7"/>
  <c r="L5" i="7"/>
  <c r="F5" i="7"/>
  <c r="N8" i="18"/>
  <c r="L8" i="18"/>
  <c r="K8" i="18"/>
  <c r="I8" i="18"/>
  <c r="I11" i="6"/>
  <c r="K11" i="6" s="1"/>
  <c r="I9" i="6"/>
  <c r="K9" i="6" s="1"/>
  <c r="N8" i="11"/>
  <c r="M8" i="11"/>
  <c r="H14" i="11"/>
  <c r="I14" i="11" s="1"/>
  <c r="E8" i="11"/>
  <c r="L8" i="40"/>
  <c r="J8" i="40"/>
  <c r="J6" i="73"/>
  <c r="I7" i="33"/>
  <c r="K7" i="33" s="1"/>
  <c r="D42" i="16"/>
  <c r="G42" i="16"/>
  <c r="D9" i="76"/>
  <c r="D8" i="76"/>
  <c r="G8" i="76"/>
  <c r="N8" i="79" l="1"/>
  <c r="I11" i="79"/>
  <c r="D43" i="16"/>
  <c r="L6" i="73" l="1"/>
  <c r="G23" i="71" l="1"/>
  <c r="E12" i="13"/>
  <c r="N6" i="13" s="1"/>
  <c r="M6" i="13"/>
  <c r="C6" i="13"/>
  <c r="G8" i="19" l="1"/>
  <c r="H11" i="11" l="1"/>
  <c r="I11" i="11" l="1"/>
  <c r="K21" i="71" l="1"/>
  <c r="G24" i="71" l="1"/>
  <c r="G25" i="71" s="1"/>
  <c r="H27" i="71" s="1"/>
  <c r="K5" i="69" l="1"/>
  <c r="E16" i="69"/>
  <c r="L5" i="69"/>
  <c r="K8" i="58" l="1"/>
  <c r="I10" i="13" l="1"/>
  <c r="I8" i="14"/>
  <c r="J8" i="14" s="1"/>
  <c r="K7" i="59"/>
  <c r="K5" i="59"/>
  <c r="L5" i="59" s="1"/>
  <c r="L7" i="59" l="1"/>
  <c r="K8" i="20"/>
  <c r="I6" i="13" l="1"/>
</calcChain>
</file>

<file path=xl/sharedStrings.xml><?xml version="1.0" encoding="utf-8"?>
<sst xmlns="http://schemas.openxmlformats.org/spreadsheetml/2006/main" count="1051" uniqueCount="438">
  <si>
    <t>AVANCE</t>
  </si>
  <si>
    <t xml:space="preserve"> </t>
  </si>
  <si>
    <t>LOT</t>
  </si>
  <si>
    <t>Entreprise Validée</t>
  </si>
  <si>
    <t>SITUATIONS</t>
  </si>
  <si>
    <t>ENCAISSEMENTS</t>
  </si>
  <si>
    <t>DATE</t>
  </si>
  <si>
    <t>REFERENCE</t>
  </si>
  <si>
    <t>LIBELLE</t>
  </si>
  <si>
    <t>DEBIT</t>
  </si>
  <si>
    <t>N°CHEQUE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</si>
  <si>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NOUR KACEM </t>
    </r>
  </si>
  <si>
    <t xml:space="preserve">AVANCE </t>
  </si>
  <si>
    <t xml:space="preserve">AVANCE N 01 </t>
  </si>
  <si>
    <t xml:space="preserve">AVANCE N 02 </t>
  </si>
  <si>
    <t xml:space="preserve">DATE </t>
  </si>
  <si>
    <t xml:space="preserve">TOTAL AVANCE </t>
  </si>
  <si>
    <t xml:space="preserve">TABLEAU DES SITUATIONS ET ENCAISEMENTS </t>
  </si>
  <si>
    <t>ESPECE</t>
  </si>
  <si>
    <t xml:space="preserve">MONTANT  GLOBAL </t>
  </si>
  <si>
    <t xml:space="preserve">RESTE 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</si>
  <si>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KERRICHE AHMED 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</si>
  <si>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PLOMBIER CITERNE </t>
    </r>
  </si>
  <si>
    <t xml:space="preserve">SITUATION </t>
  </si>
  <si>
    <t xml:space="preserve">SITUATION N1 </t>
  </si>
  <si>
    <t xml:space="preserve">AVANCE SUR SITUATION  </t>
  </si>
  <si>
    <t xml:space="preserve">SITUATION ARRETE  AU </t>
  </si>
  <si>
    <t xml:space="preserve">MODALITE DE PAIEMENT </t>
  </si>
  <si>
    <t>MONTANT DE LA SITUATION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</si>
  <si>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SAMIR LASKRI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</si>
  <si>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FERRONERIE </t>
    </r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</si>
  <si>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ART CUISINE ALLAM HOCINE </t>
    </r>
  </si>
  <si>
    <t xml:space="preserve">PAIE SITUATION  </t>
  </si>
  <si>
    <t>Espece</t>
  </si>
  <si>
    <t>EURL  BIMHA CONSTRUCTION TAYEB</t>
  </si>
  <si>
    <t>SITUATION N2</t>
  </si>
  <si>
    <t>SITUATION N3</t>
  </si>
  <si>
    <t>SITUATION N4</t>
  </si>
  <si>
    <t xml:space="preserve">CHEQUE </t>
  </si>
  <si>
    <t xml:space="preserve">N CHEQUE </t>
  </si>
  <si>
    <t xml:space="preserve">AVANCE SUR  SITUATION  </t>
  </si>
  <si>
    <t xml:space="preserve">Crénance </t>
  </si>
  <si>
    <t>RESTE A PAYE DE CHAQUE SITUATION</t>
  </si>
  <si>
    <t>MONTANT  DU MARCHE</t>
  </si>
  <si>
    <t>DATE DE PAIEMENT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</si>
  <si>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BELAIDI MOHAMED RIADH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</si>
  <si>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</si>
  <si>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HAUT TENSION ELECTRICITE</t>
    </r>
  </si>
  <si>
    <t>BELAIDI MOHAMED RIADH</t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</si>
  <si>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TRAVAUX DE GAZ </t>
    </r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</si>
  <si>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ETS MEZIANI YOUNES </t>
    </r>
  </si>
  <si>
    <t>TOTAL AVANCE DE CHAQUE SITUATION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</si>
  <si>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ETB BENHADAD RIDHA (BAHI  )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</si>
  <si>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ETANCHIETE</t>
    </r>
  </si>
  <si>
    <t>SITUATION N1</t>
  </si>
  <si>
    <t>CHEQUE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</si>
  <si>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TELMAT MOHAMED </t>
    </r>
  </si>
  <si>
    <t>TELMAT MOHAMED</t>
  </si>
  <si>
    <t>cheque</t>
  </si>
  <si>
    <t xml:space="preserve">DERICHE MOHAMED 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</si>
  <si>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RAFFA LAHCENE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</si>
  <si>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CUISINE </t>
    </r>
  </si>
  <si>
    <t>.20/05/2024</t>
  </si>
  <si>
    <t>AVANCE 01</t>
  </si>
  <si>
    <t>AVANCE 02</t>
  </si>
  <si>
    <t>AVANCE 03</t>
  </si>
  <si>
    <t>SITUATION 1</t>
  </si>
  <si>
    <t>SITUATION 2</t>
  </si>
  <si>
    <t>AVANCE N 03</t>
  </si>
  <si>
    <t>AVANCE N 04</t>
  </si>
  <si>
    <t>AVANCE N 05</t>
  </si>
  <si>
    <t xml:space="preserve">SIT 01                 </t>
  </si>
  <si>
    <t>REALISATION DES TRAVAUX</t>
  </si>
  <si>
    <t xml:space="preserve">SIT 02                 </t>
  </si>
  <si>
    <t xml:space="preserve">ST 03/2022             </t>
  </si>
  <si>
    <t xml:space="preserve">ST 04/2022             </t>
  </si>
  <si>
    <t xml:space="preserve">ST 05/2022             </t>
  </si>
  <si>
    <t xml:space="preserve">ST 06/2022             </t>
  </si>
  <si>
    <t xml:space="preserve">ST 07/2022             </t>
  </si>
  <si>
    <t xml:space="preserve">ST 08/2022             </t>
  </si>
  <si>
    <t xml:space="preserve">ST 09/2022             </t>
  </si>
  <si>
    <t xml:space="preserve">SIT 10/2023            </t>
  </si>
  <si>
    <t xml:space="preserve">SIT 11/2023            </t>
  </si>
  <si>
    <t xml:space="preserve">SIT 12/2023            </t>
  </si>
  <si>
    <t xml:space="preserve">SIT 13/2023            </t>
  </si>
  <si>
    <t xml:space="preserve">SIT 14/2023            </t>
  </si>
  <si>
    <t xml:space="preserve">SIT 15/2023            </t>
  </si>
  <si>
    <t xml:space="preserve">SIT 16/2023            </t>
  </si>
  <si>
    <t xml:space="preserve">SIT 17/2023            </t>
  </si>
  <si>
    <t xml:space="preserve">CHQ 469674             </t>
  </si>
  <si>
    <t>SIT 18/2023</t>
  </si>
  <si>
    <t xml:space="preserve">CHQ 4078456            </t>
  </si>
  <si>
    <t>SIT 19/2023</t>
  </si>
  <si>
    <t xml:space="preserve">CHQ 4078458            </t>
  </si>
  <si>
    <t>SIT 20/2023</t>
  </si>
  <si>
    <t xml:space="preserve">CHQ 4078467            </t>
  </si>
  <si>
    <t>SIT 21/2023</t>
  </si>
  <si>
    <t xml:space="preserve">CHQ 4078471            </t>
  </si>
  <si>
    <t>SIT 22/2024</t>
  </si>
  <si>
    <t xml:space="preserve">CHQ 4078476            </t>
  </si>
  <si>
    <t>SIT 23/2024</t>
  </si>
  <si>
    <t xml:space="preserve">CHQ 4078479            </t>
  </si>
  <si>
    <t>CHQ 470107</t>
  </si>
  <si>
    <t>CHQ 470190</t>
  </si>
  <si>
    <t>ENCAISSEMENT ESPECE</t>
  </si>
  <si>
    <t>CHEQ140624</t>
  </si>
  <si>
    <t>TOTAL</t>
  </si>
  <si>
    <t xml:space="preserve">date de depot </t>
  </si>
  <si>
    <t>N° Facture</t>
  </si>
  <si>
    <t>N° Commande</t>
  </si>
  <si>
    <t>Date Facturation</t>
  </si>
  <si>
    <t>Total HT remisé</t>
  </si>
  <si>
    <t>TOTAL FACTURE ttc</t>
  </si>
  <si>
    <t>rejeté</t>
  </si>
  <si>
    <t>24003178</t>
  </si>
  <si>
    <t>5088293</t>
  </si>
  <si>
    <t>Total paiement</t>
  </si>
  <si>
    <t>Total facturation</t>
  </si>
  <si>
    <t>Total</t>
  </si>
  <si>
    <t>Créance</t>
  </si>
  <si>
    <t xml:space="preserve">18 restante de art cuisine </t>
  </si>
  <si>
    <t>70 cuisines</t>
  </si>
  <si>
    <t xml:space="preserve">FERHAT  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</si>
  <si>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MED BATIMENT 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</si>
  <si>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PARABOLE </t>
    </r>
  </si>
  <si>
    <t>SAMIR LASKRI</t>
  </si>
  <si>
    <t xml:space="preserve">Modalite de Paiement </t>
  </si>
  <si>
    <r>
      <t xml:space="preserve">SOUS TRAITANT </t>
    </r>
    <r>
      <rPr>
        <b/>
        <u/>
        <sz val="10"/>
        <color rgb="FF000000"/>
        <rFont val="Cambria"/>
        <family val="1"/>
      </rPr>
      <t>: HAKIM</t>
    </r>
  </si>
  <si>
    <r>
      <t xml:space="preserve">SOUS TRAITANT </t>
    </r>
    <r>
      <rPr>
        <b/>
        <u/>
        <sz val="10"/>
        <color rgb="FF000000"/>
        <rFont val="Cambria"/>
        <family val="1"/>
      </rPr>
      <t>: RAMMAS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</si>
  <si>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PASSEREL</t>
    </r>
  </si>
  <si>
    <t>AVANCE N 02</t>
  </si>
  <si>
    <t>JOINT DE DILATAION</t>
  </si>
  <si>
    <t>PLUS 2000</t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</si>
  <si>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direction general</t>
    </r>
  </si>
  <si>
    <t xml:space="preserve">piece de finition </t>
  </si>
  <si>
    <t xml:space="preserve">clarque </t>
  </si>
  <si>
    <r>
      <t xml:space="preserve">SOUS TRAITANT </t>
    </r>
    <r>
      <rPr>
        <b/>
        <u/>
        <sz val="10"/>
        <color rgb="FF000000"/>
        <rFont val="Cambria"/>
        <family val="1"/>
      </rPr>
      <t xml:space="preserve">: monocouche </t>
    </r>
    <r>
      <rPr>
        <b/>
        <u/>
        <sz val="10"/>
        <color rgb="FF000000"/>
        <rFont val="Times New Roman"/>
        <family val="1"/>
      </rPr>
      <t>parking</t>
    </r>
  </si>
  <si>
    <t xml:space="preserve">solde </t>
  </si>
  <si>
    <t xml:space="preserve">reste de la situation </t>
  </si>
  <si>
    <t>AVANCE N 06</t>
  </si>
  <si>
    <t xml:space="preserve">AVANCE N 04                            CAZA </t>
  </si>
  <si>
    <t xml:space="preserve">LA DATE DU CHEQUE  </t>
  </si>
  <si>
    <t xml:space="preserve">N DE CHEQUE </t>
  </si>
  <si>
    <t>EDOOR</t>
  </si>
  <si>
    <t xml:space="preserve">AVENANT EDOOR </t>
  </si>
  <si>
    <t>0 470441</t>
  </si>
  <si>
    <t>0 470488</t>
  </si>
  <si>
    <t>0 470489</t>
  </si>
  <si>
    <t>OXXO</t>
  </si>
  <si>
    <t>Porte intérieur</t>
  </si>
  <si>
    <t>0 140566</t>
  </si>
  <si>
    <t>0 140646</t>
  </si>
  <si>
    <t>0 140568</t>
  </si>
  <si>
    <t>0 470428</t>
  </si>
  <si>
    <t>0 140585</t>
  </si>
  <si>
    <t xml:space="preserve">ANNEE </t>
  </si>
  <si>
    <t xml:space="preserve">MONTANT MARCHE </t>
  </si>
  <si>
    <t xml:space="preserve">espece </t>
  </si>
  <si>
    <t>0 470465</t>
  </si>
  <si>
    <t>AVANCE N 07</t>
  </si>
  <si>
    <t>AVANCE POUR ACHAT  DES CITERNES</t>
  </si>
  <si>
    <t xml:space="preserve">DATE DES PAIEMENT  </t>
  </si>
  <si>
    <t xml:space="preserve">reste 5%  retenue de garantie </t>
  </si>
  <si>
    <t>defenir</t>
  </si>
  <si>
    <t xml:space="preserve">  </t>
  </si>
  <si>
    <t xml:space="preserve">   </t>
  </si>
  <si>
    <t xml:space="preserve">TOTAL DES SITUATIONS </t>
  </si>
  <si>
    <t>AVANCE N2</t>
  </si>
  <si>
    <t>AVANCE N 08</t>
  </si>
  <si>
    <t xml:space="preserve">ESPECE </t>
  </si>
  <si>
    <t>AVANCE N 09</t>
  </si>
  <si>
    <t>AVANCE N 10</t>
  </si>
  <si>
    <r>
      <t xml:space="preserve">SOUS TRAITANT </t>
    </r>
    <r>
      <rPr>
        <b/>
        <u/>
        <sz val="10"/>
        <color rgb="FF000000"/>
        <rFont val="Cambria"/>
        <family val="1"/>
      </rPr>
      <t xml:space="preserve">: BRAHIM 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</si>
  <si>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GAINE TECHNIQUE </t>
    </r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</si>
  <si>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ferhat</t>
    </r>
  </si>
  <si>
    <t>espece</t>
  </si>
  <si>
    <t>electricite parking</t>
  </si>
  <si>
    <t>gaine technique</t>
  </si>
  <si>
    <t xml:space="preserve">AVANCE N 05  </t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</si>
  <si>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ahmed</t>
    </r>
  </si>
  <si>
    <t xml:space="preserve">situation </t>
  </si>
  <si>
    <t xml:space="preserve">situation      01 </t>
  </si>
  <si>
    <t>LOT :  ETANCHIETE PAX   JOINT ENTRE BLOC</t>
  </si>
  <si>
    <t xml:space="preserve"> .../…./2024</t>
  </si>
  <si>
    <t>…./10/2023</t>
  </si>
  <si>
    <t>O470185</t>
  </si>
  <si>
    <t>O140594</t>
  </si>
  <si>
    <t>O470427</t>
  </si>
  <si>
    <t>O470464</t>
  </si>
  <si>
    <t>AVANCE 04</t>
  </si>
  <si>
    <t>0 140617</t>
  </si>
  <si>
    <t>0.140564</t>
  </si>
  <si>
    <t>0.470425</t>
  </si>
  <si>
    <t>0.470468</t>
  </si>
  <si>
    <t>AUCUNE SITUATION</t>
  </si>
  <si>
    <t>SITUATION N4 ET DEFINITIVE</t>
  </si>
  <si>
    <t xml:space="preserve"> ETB BENHADAD RIDHA </t>
  </si>
  <si>
    <t>O140593</t>
  </si>
  <si>
    <t>O140587</t>
  </si>
  <si>
    <t>SITUATION N3 ET DEFINITIF</t>
  </si>
  <si>
    <t>O 140569</t>
  </si>
  <si>
    <t>O140570</t>
  </si>
  <si>
    <t>O 470430</t>
  </si>
  <si>
    <t xml:space="preserve">OBSERVATION </t>
  </si>
  <si>
    <r>
      <t>UN CHEQUE DE GARANTIE REMIS LE 14</t>
    </r>
    <r>
      <rPr>
        <sz val="9"/>
        <color rgb="FF000000"/>
        <rFont val="Leelawadee"/>
        <family val="2"/>
      </rPr>
      <t>/</t>
    </r>
    <r>
      <rPr>
        <sz val="9"/>
        <color rgb="FF000000"/>
        <rFont val="Times New Roman"/>
        <family val="1"/>
      </rPr>
      <t>05</t>
    </r>
    <r>
      <rPr>
        <sz val="9"/>
        <color rgb="FF000000"/>
        <rFont val="Leelawadee"/>
        <family val="2"/>
      </rPr>
      <t>/</t>
    </r>
    <r>
      <rPr>
        <sz val="9"/>
        <color rgb="FF000000"/>
        <rFont val="Times New Roman"/>
        <family val="1"/>
      </rPr>
      <t>2024 DE 86 982.00 DA N DE CHEQUE OOOOO32</t>
    </r>
  </si>
  <si>
    <t xml:space="preserve">N pcs </t>
  </si>
  <si>
    <t xml:space="preserve">nature </t>
  </si>
  <si>
    <t>Montant Payé</t>
  </si>
  <si>
    <t>Acompte</t>
  </si>
  <si>
    <t xml:space="preserve">Créance </t>
  </si>
  <si>
    <t>Totalité</t>
  </si>
  <si>
    <t>0470154</t>
  </si>
  <si>
    <t>0140627</t>
  </si>
  <si>
    <t>0140639</t>
  </si>
  <si>
    <t>0140634</t>
  </si>
  <si>
    <t>0140567</t>
  </si>
  <si>
    <t>0140573</t>
  </si>
  <si>
    <t>0140577</t>
  </si>
  <si>
    <t>0140592</t>
  </si>
  <si>
    <t>0140600</t>
  </si>
  <si>
    <t>O470463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</si>
  <si>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SID ABDELHAMID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</si>
  <si>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F</t>
    </r>
    <r>
      <rPr>
        <b/>
        <u/>
        <sz val="10"/>
        <color rgb="FF000000"/>
        <rFont val="Leelawadee"/>
        <family val="2"/>
      </rPr>
      <t>/</t>
    </r>
    <r>
      <rPr>
        <b/>
        <u/>
        <sz val="10"/>
        <color rgb="FF000000"/>
        <rFont val="Times New Roman"/>
        <family val="1"/>
      </rPr>
      <t>P MONOCOUCHE</t>
    </r>
  </si>
  <si>
    <t>O470426</t>
  </si>
  <si>
    <t>0 140629</t>
  </si>
  <si>
    <t>FACTURE 01</t>
  </si>
  <si>
    <t>FACTURE 02</t>
  </si>
  <si>
    <t>FACTURE 01 AVENANT</t>
  </si>
  <si>
    <t>N DE SITUATION</t>
  </si>
  <si>
    <t xml:space="preserve">MONTANT DE LA SITUATION </t>
  </si>
  <si>
    <t>AVANCE SITUATION</t>
  </si>
  <si>
    <t>total des avance</t>
  </si>
  <si>
    <t xml:space="preserve">creance </t>
  </si>
  <si>
    <t xml:space="preserve">N DE FACTURE </t>
  </si>
  <si>
    <t>0 140608</t>
  </si>
  <si>
    <t>0 470153</t>
  </si>
  <si>
    <t>RAFFA LAHCENE</t>
  </si>
  <si>
    <t>N DE situation</t>
  </si>
  <si>
    <t>0 140619</t>
  </si>
  <si>
    <t xml:space="preserve">SITUATION N01 </t>
  </si>
  <si>
    <t>0 140630</t>
  </si>
  <si>
    <t>SITUATION N02</t>
  </si>
  <si>
    <t>SITUATION N03</t>
  </si>
  <si>
    <t>SITUATION N04</t>
  </si>
  <si>
    <t>MODALITE DE PAIEMENT H16:H21</t>
  </si>
  <si>
    <t>SITUATION N5</t>
  </si>
  <si>
    <t>SITUATION N6</t>
  </si>
  <si>
    <t>SIT BAB EZZOUAR</t>
  </si>
  <si>
    <t>0 140625</t>
  </si>
  <si>
    <t xml:space="preserve">EURL  BIMHA CONSTRUCTION </t>
  </si>
  <si>
    <t>SITUATION N05</t>
  </si>
  <si>
    <t>SITUATION N06</t>
  </si>
  <si>
    <t>SITUATION N 1 RETENUE DE GARANTIE</t>
  </si>
  <si>
    <t xml:space="preserve">TOTAL DES AVANCES </t>
  </si>
  <si>
    <t>TOTAL DES SITUATION</t>
  </si>
  <si>
    <t>N SITUATION</t>
  </si>
  <si>
    <t>MONTANT DE SITUATION</t>
  </si>
  <si>
    <t>cheq 0140557</t>
  </si>
  <si>
    <t>O140616</t>
  </si>
  <si>
    <t>Total 5%</t>
  </si>
  <si>
    <t xml:space="preserve">AUCUNE SITUATION DEPOSE ENCORE </t>
  </si>
  <si>
    <t xml:space="preserve">ESPECE A RECUPERE LORS LA </t>
  </si>
  <si>
    <t>115200,00 DA</t>
  </si>
  <si>
    <t xml:space="preserve"> 16/01/2023</t>
  </si>
  <si>
    <t xml:space="preserve">VIREMENT </t>
  </si>
  <si>
    <t>CHEQ140635</t>
  </si>
  <si>
    <t xml:space="preserve"> ETS MEZIANI YOUNES </t>
  </si>
  <si>
    <t>O140645</t>
  </si>
  <si>
    <t>RETENUE DE GARANTIE 5</t>
  </si>
  <si>
    <t>MONTANT  REEL</t>
  </si>
  <si>
    <t>MONTANT MARCHE</t>
  </si>
  <si>
    <t xml:space="preserve">TOTAL SITUATION </t>
  </si>
  <si>
    <t>SARL EDOOR</t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</si>
  <si>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pose plan de travail </t>
    </r>
  </si>
  <si>
    <t>SITUATION ARRETE  AU</t>
  </si>
  <si>
    <t xml:space="preserve">creance des situation </t>
  </si>
  <si>
    <t xml:space="preserve">CREANCE </t>
  </si>
  <si>
    <t>CREANCE</t>
  </si>
  <si>
    <t>CREANCE DES SITUATION</t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</si>
  <si>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05 CUISINES </t>
    </r>
  </si>
  <si>
    <t xml:space="preserve">Creance </t>
  </si>
  <si>
    <t xml:space="preserve">POSE PLAN DE TRAVAIL </t>
  </si>
  <si>
    <r>
      <t xml:space="preserve">SOUS TRAITANT </t>
    </r>
    <r>
      <rPr>
        <b/>
        <u/>
        <sz val="10"/>
        <color rgb="FF000000"/>
        <rFont val="Cambria"/>
        <family val="1"/>
      </rPr>
      <t>: ABDELHAFID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</si>
  <si>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DALLAGE  PARKING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</si>
  <si>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DALLAGE PARKING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</si>
  <si>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DECOUPAGE VOILE</t>
    </r>
  </si>
  <si>
    <t xml:space="preserve"> SPA OXXO ALGERIE </t>
  </si>
  <si>
    <t>TOTAL DES STUATION</t>
  </si>
  <si>
    <t>0 426498</t>
  </si>
  <si>
    <r>
      <t xml:space="preserve">SARL AYTUNC YAPI        20 </t>
    </r>
    <r>
      <rPr>
        <b/>
        <sz val="8"/>
        <color rgb="FF000000"/>
        <rFont val="Calibri"/>
        <family val="2"/>
      </rPr>
      <t>/</t>
    </r>
    <r>
      <rPr>
        <b/>
        <sz val="8"/>
        <color rgb="FF000000"/>
        <rFont val="Times New Roman"/>
        <family val="1"/>
      </rPr>
      <t xml:space="preserve">11 </t>
    </r>
    <r>
      <rPr>
        <b/>
        <sz val="8"/>
        <color rgb="FF000000"/>
        <rFont val="Calibri"/>
        <family val="2"/>
      </rPr>
      <t>/</t>
    </r>
    <r>
      <rPr>
        <b/>
        <sz val="8"/>
        <color rgb="FF000000"/>
        <rFont val="Times New Roman"/>
        <family val="1"/>
      </rPr>
      <t>2024</t>
    </r>
  </si>
  <si>
    <t xml:space="preserve">REALISATION DES TRAVAUX  VRD </t>
  </si>
  <si>
    <t>REALISATION DES TRAVAUX VRD</t>
  </si>
  <si>
    <t>BELAIDI NOUR EDDINE</t>
  </si>
  <si>
    <t xml:space="preserve">crance </t>
  </si>
  <si>
    <t>ABDELHAFID</t>
  </si>
  <si>
    <t xml:space="preserve"> MONTANT DE LA SITUATION </t>
  </si>
  <si>
    <t xml:space="preserve"> 15/08/2024</t>
  </si>
  <si>
    <t>SID ABDELHAMID</t>
  </si>
  <si>
    <t xml:space="preserve">DOIT A LA SARL DENDANI PROMOTION </t>
  </si>
  <si>
    <t xml:space="preserve">RETENUE DE GARANTIE </t>
  </si>
  <si>
    <t xml:space="preserve">creance  </t>
  </si>
  <si>
    <t xml:space="preserve">retenue de garantie </t>
  </si>
  <si>
    <t xml:space="preserve">retenue da garantie </t>
  </si>
  <si>
    <t>SIT 24/2024</t>
  </si>
  <si>
    <t>SIT 25/2024</t>
  </si>
  <si>
    <t>SIT 26/2024</t>
  </si>
  <si>
    <t xml:space="preserve">DATE de avance </t>
  </si>
  <si>
    <t xml:space="preserve">SITUATION 1 </t>
  </si>
  <si>
    <t xml:space="preserve">Montant de la situation </t>
  </si>
  <si>
    <t xml:space="preserve">RETENUE DE GARANTIE  </t>
  </si>
  <si>
    <t>AVANCE N 11</t>
  </si>
  <si>
    <t>AVANCE N 12</t>
  </si>
  <si>
    <t xml:space="preserve">Arrete le </t>
  </si>
  <si>
    <t xml:space="preserve">Montant de avance </t>
  </si>
  <si>
    <t xml:space="preserve">SITUATION ARRETE LE </t>
  </si>
  <si>
    <t>Avance 1</t>
  </si>
  <si>
    <t>Avance 2</t>
  </si>
  <si>
    <t>Avance 3</t>
  </si>
  <si>
    <t>Montant de avance</t>
  </si>
  <si>
    <t>modalite de paiement</t>
  </si>
  <si>
    <t xml:space="preserve">Avance </t>
  </si>
  <si>
    <t>avance 1</t>
  </si>
  <si>
    <t>avance 2</t>
  </si>
  <si>
    <t>avance 3</t>
  </si>
  <si>
    <t>avance 4</t>
  </si>
  <si>
    <t>avance 5</t>
  </si>
  <si>
    <t>avance 6</t>
  </si>
  <si>
    <t>SITUATION N4 RETENUE DE RESERVE</t>
  </si>
  <si>
    <t xml:space="preserve">CUISINE AADL </t>
  </si>
  <si>
    <t xml:space="preserve">AUTRE TRAVAUX </t>
  </si>
  <si>
    <t xml:space="preserve">BAB EZZOUAR </t>
  </si>
  <si>
    <t>MODIFICATION VILLA 14</t>
  </si>
  <si>
    <r>
      <t xml:space="preserve">SOUS TRAITANT </t>
    </r>
    <r>
      <rPr>
        <b/>
        <u/>
        <sz val="12"/>
        <color rgb="FF000000"/>
        <rFont val="Cambria"/>
        <family val="1"/>
      </rPr>
      <t>:</t>
    </r>
    <r>
      <rPr>
        <b/>
        <u/>
        <sz val="12"/>
        <color rgb="FF000000"/>
        <rFont val="Times New Roman"/>
        <family val="1"/>
      </rPr>
      <t xml:space="preserve"> DERICHE MOHAMED </t>
    </r>
  </si>
  <si>
    <r>
      <t xml:space="preserve">LOT </t>
    </r>
    <r>
      <rPr>
        <b/>
        <u/>
        <sz val="12"/>
        <color rgb="FF000000"/>
        <rFont val="Cambria"/>
        <family val="1"/>
      </rPr>
      <t>:</t>
    </r>
    <r>
      <rPr>
        <b/>
        <u/>
        <sz val="12"/>
        <color rgb="FF000000"/>
        <rFont val="Times New Roman"/>
        <family val="1"/>
      </rPr>
      <t xml:space="preserve"> CUISINE </t>
    </r>
  </si>
  <si>
    <t xml:space="preserve">RESTE DES SITUATION  </t>
  </si>
  <si>
    <t xml:space="preserve">TOTAL DES SITUATION </t>
  </si>
  <si>
    <t xml:space="preserve">Situation  N1 </t>
  </si>
  <si>
    <t>EURL BIMHA CONSTRUCTION</t>
  </si>
  <si>
    <t>SITUATION ARRETE LE</t>
  </si>
  <si>
    <t>-</t>
  </si>
  <si>
    <t xml:space="preserve">avance </t>
  </si>
  <si>
    <t xml:space="preserve">LA DATE DU PAIEMENT </t>
  </si>
  <si>
    <r>
      <rPr>
        <b/>
        <u/>
        <sz val="12"/>
        <color rgb="FF000000"/>
        <rFont val="Times New Roman"/>
        <family val="1"/>
      </rPr>
      <t>LOT  01</t>
    </r>
    <r>
      <rPr>
        <b/>
        <u/>
        <sz val="12"/>
        <color rgb="FF000000"/>
        <rFont val="Cambria"/>
        <family val="1"/>
      </rPr>
      <t>:</t>
    </r>
    <r>
      <rPr>
        <b/>
        <u/>
        <sz val="12"/>
        <color rgb="FF000000"/>
        <rFont val="Times New Roman"/>
        <family val="1"/>
      </rPr>
      <t xml:space="preserve">  branchement gaz extérieur RT</t>
    </r>
  </si>
  <si>
    <r>
      <rPr>
        <b/>
        <u/>
        <sz val="12"/>
        <color rgb="FF000000"/>
        <rFont val="Times New Roman"/>
        <family val="1"/>
      </rPr>
      <t xml:space="preserve">SOUS TRAITANT </t>
    </r>
    <r>
      <rPr>
        <b/>
        <u/>
        <sz val="12"/>
        <color rgb="FF000000"/>
        <rFont val="Cambria"/>
        <family val="1"/>
      </rPr>
      <t>:</t>
    </r>
    <r>
      <rPr>
        <b/>
        <u/>
        <sz val="12"/>
        <color rgb="FF000000"/>
        <rFont val="Times New Roman"/>
        <family val="1"/>
      </rPr>
      <t xml:space="preserve"> BELAIDI NOUR EDDINE</t>
    </r>
  </si>
  <si>
    <r>
      <rPr>
        <b/>
        <u/>
        <sz val="12"/>
        <color rgb="FF000000"/>
        <rFont val="Times New Roman"/>
        <family val="1"/>
      </rPr>
      <t>LOT  02</t>
    </r>
    <r>
      <rPr>
        <b/>
        <u/>
        <sz val="12"/>
        <color rgb="FF000000"/>
        <rFont val="Cambria"/>
        <family val="1"/>
      </rPr>
      <t>:</t>
    </r>
    <r>
      <rPr>
        <b/>
        <u/>
        <sz val="12"/>
        <color rgb="FF000000"/>
        <rFont val="Times New Roman"/>
        <family val="1"/>
      </rPr>
      <t xml:space="preserve">  Mise a la terre </t>
    </r>
  </si>
  <si>
    <r>
      <t xml:space="preserve">SOUS TRAITANT </t>
    </r>
    <r>
      <rPr>
        <b/>
        <u/>
        <sz val="10"/>
        <color rgb="FF000000"/>
        <rFont val="Cambria"/>
        <family val="1"/>
      </rPr>
      <t>: EURL REMMAS</t>
    </r>
  </si>
  <si>
    <t>EURL REMMAS</t>
  </si>
  <si>
    <t>piece de finition</t>
  </si>
  <si>
    <t>Panneaux Sandwichs</t>
  </si>
  <si>
    <t>location clarque</t>
  </si>
  <si>
    <t xml:space="preserve">travaux amenagement exterieur de la facades </t>
  </si>
  <si>
    <t>N  DE SITUATION</t>
  </si>
  <si>
    <t xml:space="preserve">MONTANT DE SITUATION </t>
  </si>
  <si>
    <t xml:space="preserve">N DE SITUATION 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</si>
  <si>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UCAR BULENT </t>
    </r>
  </si>
  <si>
    <t>AVANCE N02</t>
  </si>
  <si>
    <t xml:space="preserve">MONTANT AVANCE </t>
  </si>
  <si>
    <t>SITUATION N7</t>
  </si>
  <si>
    <t>avance 7</t>
  </si>
  <si>
    <t>avance 8</t>
  </si>
  <si>
    <t>avance 9</t>
  </si>
  <si>
    <r>
      <t xml:space="preserve">TOTAL LES RETENUE DE GARANTIE ET TEST 20 </t>
    </r>
    <r>
      <rPr>
        <sz val="12"/>
        <color rgb="FF000000"/>
        <rFont val="Verdana"/>
        <family val="2"/>
      </rPr>
      <t>%</t>
    </r>
  </si>
  <si>
    <t xml:space="preserve">TOTAL DE SITUATION </t>
  </si>
  <si>
    <t xml:space="preserve">N AVANCE </t>
  </si>
  <si>
    <t xml:space="preserve">MONTANT DE AVANCE </t>
  </si>
  <si>
    <r>
      <t xml:space="preserve">SOUS TRAITANT </t>
    </r>
    <r>
      <rPr>
        <b/>
        <u/>
        <sz val="10"/>
        <color rgb="FF000000"/>
        <rFont val="Cambria"/>
        <family val="1"/>
      </rPr>
      <t>: YACINE</t>
    </r>
    <r>
      <rPr>
        <b/>
        <u/>
        <sz val="10"/>
        <color rgb="FF000000"/>
        <rFont val="Times New Roman"/>
        <family val="1"/>
      </rPr>
      <t xml:space="preserve"> HELAILI </t>
    </r>
  </si>
  <si>
    <t xml:space="preserve">ARRETE LE </t>
  </si>
  <si>
    <t>lot couvre joint en aluco</t>
  </si>
  <si>
    <t xml:space="preserve">Total des avances </t>
  </si>
  <si>
    <t xml:space="preserve">CREANCE  </t>
  </si>
  <si>
    <t xml:space="preserve">AVANCE POUR LA MISE A EAU 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</si>
  <si>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SARL NEW REMAX BTP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</si>
  <si>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TRAVAUX DE FOURNITURE ET POSE DE BETON IMPRIME</t>
    </r>
  </si>
  <si>
    <t xml:space="preserve">SARL NEW REMAX BTP </t>
  </si>
  <si>
    <t xml:space="preserve">AUCUNE SITUATION DEPOSE </t>
  </si>
  <si>
    <t>…./…/2024</t>
  </si>
  <si>
    <t xml:space="preserve">Espece </t>
  </si>
  <si>
    <t xml:space="preserve">MODALITE DE PAIEMENT   </t>
  </si>
  <si>
    <t xml:space="preserve">retenue de garantie  </t>
  </si>
  <si>
    <t xml:space="preserve">YACINE HELAILI </t>
  </si>
  <si>
    <t xml:space="preserve">MONTANT DE  ARRETE LE </t>
  </si>
  <si>
    <t>TOTAL DES  SITUATION</t>
  </si>
  <si>
    <t xml:space="preserve"> ART CUISINE ALLAM HOCINE </t>
  </si>
  <si>
    <t xml:space="preserve">N SITUATION </t>
  </si>
  <si>
    <t>AVANCE 1</t>
  </si>
  <si>
    <t>ART CUISINE</t>
  </si>
  <si>
    <t xml:space="preserve">SAMIR LASKRI </t>
  </si>
  <si>
    <t xml:space="preserve">EURL BIMHA CONSTRUCTION </t>
  </si>
  <si>
    <t>DERICHE MOHAMED</t>
  </si>
  <si>
    <t>FERHAT KADRI</t>
  </si>
  <si>
    <t xml:space="preserve">Ccreance </t>
  </si>
  <si>
    <t>AHMED BOUGHRARA</t>
  </si>
  <si>
    <t xml:space="preserve">ETB SARACOGLU CONSTRUCTION </t>
  </si>
  <si>
    <t>NOUR KACEM</t>
  </si>
  <si>
    <t xml:space="preserve">ATYUNC YAPI </t>
  </si>
  <si>
    <t xml:space="preserve">BIG BUILDING </t>
  </si>
  <si>
    <r>
      <t xml:space="preserve">ESPECE </t>
    </r>
    <r>
      <rPr>
        <sz val="10"/>
        <color rgb="FF000000"/>
        <rFont val="Verdana"/>
        <family val="2"/>
      </rPr>
      <t>/</t>
    </r>
    <r>
      <rPr>
        <sz val="10"/>
        <color rgb="FF000000"/>
        <rFont val="Times New Roman"/>
        <family val="1"/>
      </rPr>
      <t xml:space="preserve">CHEQUE </t>
    </r>
  </si>
  <si>
    <t xml:space="preserve">SARL EDOOR </t>
  </si>
  <si>
    <t>MONTANT GLOBAL</t>
  </si>
  <si>
    <t xml:space="preserve">SPA OXXO ALGERIE </t>
  </si>
  <si>
    <t xml:space="preserve">RETARDS EN JOURS </t>
  </si>
  <si>
    <t xml:space="preserve">RETARD EN MOINS </t>
  </si>
  <si>
    <t xml:space="preserve">ENTREPRISE </t>
  </si>
  <si>
    <t xml:space="preserve">NUISSANCE ENTRPRISE </t>
  </si>
  <si>
    <t>DOMMAGE ENTREPRISE</t>
  </si>
  <si>
    <t xml:space="preserve">ARTICLE NEXISTE PAS DANS LE CONTRAT </t>
  </si>
  <si>
    <t>AYTUNC</t>
  </si>
  <si>
    <t xml:space="preserve">BENHADAD RHIDAH </t>
  </si>
  <si>
    <t xml:space="preserve">SARACOGLU CONSTRUCTION </t>
  </si>
  <si>
    <t xml:space="preserve">BOUGHRARA AHMED </t>
  </si>
  <si>
    <t>ALLAM HOUCINE ART CUISINE</t>
  </si>
  <si>
    <t xml:space="preserve">KHAIDER ABDELHAFID </t>
  </si>
  <si>
    <t>RAFFA LAHCEN</t>
  </si>
  <si>
    <t xml:space="preserve">SARL NEW RELAX BTP </t>
  </si>
  <si>
    <t>11MOINS</t>
  </si>
  <si>
    <t xml:space="preserve">31 JOURS </t>
  </si>
  <si>
    <t xml:space="preserve">UN MOINS </t>
  </si>
  <si>
    <t xml:space="preserve">297  JOURS </t>
  </si>
  <si>
    <t xml:space="preserve">412 JOURS </t>
  </si>
  <si>
    <t>13 mois et 16 jours</t>
  </si>
  <si>
    <t>97 jours</t>
  </si>
  <si>
    <t>3,19mois</t>
  </si>
  <si>
    <t xml:space="preserve">TAUX </t>
  </si>
  <si>
    <t>160 jours</t>
  </si>
  <si>
    <t>5 mois et 8 jours</t>
  </si>
  <si>
    <t xml:space="preserve">29 jours </t>
  </si>
  <si>
    <t xml:space="preserve">382 jours </t>
  </si>
  <si>
    <t>504 jours</t>
  </si>
  <si>
    <t>16,8 MOINS</t>
  </si>
  <si>
    <t>434 jours</t>
  </si>
  <si>
    <t>14,47 mois</t>
  </si>
  <si>
    <t xml:space="preserve">107 jours </t>
  </si>
  <si>
    <t>397 jours</t>
  </si>
  <si>
    <t xml:space="preserve"> 0,1%*12000000DA*153 CLIENTS *NOMBRE DE MOINS </t>
  </si>
  <si>
    <r>
      <t>PENALITE DE RATARD 10</t>
    </r>
    <r>
      <rPr>
        <b/>
        <sz val="11"/>
        <rFont val="Verdana"/>
        <family val="2"/>
      </rPr>
      <t>%</t>
    </r>
  </si>
  <si>
    <r>
      <t>PENALITE DE NETTOYAGE 1</t>
    </r>
    <r>
      <rPr>
        <b/>
        <sz val="11"/>
        <color rgb="FF000000"/>
        <rFont val="Verdana"/>
        <family val="2"/>
      </rPr>
      <t>%</t>
    </r>
  </si>
  <si>
    <r>
      <t xml:space="preserve">MANQUE A GAGNER </t>
    </r>
    <r>
      <rPr>
        <b/>
        <sz val="11"/>
        <rFont val="Verdana"/>
        <family val="2"/>
      </rPr>
      <t>/</t>
    </r>
    <r>
      <rPr>
        <b/>
        <sz val="11"/>
        <rFont val="Calibri"/>
        <family val="2"/>
      </rPr>
      <t>REPUTATION</t>
    </r>
    <r>
      <rPr>
        <b/>
        <sz val="11"/>
        <rFont val="Verdana"/>
        <family val="2"/>
      </rPr>
      <t>/</t>
    </r>
    <r>
      <rPr>
        <b/>
        <sz val="11"/>
        <rFont val="Calibri"/>
        <family val="2"/>
      </rPr>
      <t>FRAIS BET</t>
    </r>
    <r>
      <rPr>
        <b/>
        <sz val="11"/>
        <rFont val="Verdana"/>
        <family val="2"/>
      </rPr>
      <t>/</t>
    </r>
    <r>
      <rPr>
        <b/>
        <sz val="11"/>
        <rFont val="Calibri"/>
        <family val="2"/>
      </rPr>
      <t xml:space="preserve">MASSE SALARILE </t>
    </r>
    <r>
      <rPr>
        <b/>
        <sz val="11"/>
        <rFont val="Verdana"/>
        <family val="2"/>
      </rPr>
      <t>=</t>
    </r>
    <r>
      <rPr>
        <b/>
        <sz val="11"/>
        <rFont val="Calibri"/>
        <family val="2"/>
      </rPr>
      <t xml:space="preserve">708 000 000 DA </t>
    </r>
  </si>
  <si>
    <t>301 jours de retard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</si>
</sst>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&quot; &quot;#,##0&quot; &quot;;&quot;-&quot;#,##0&quot; &quot;;&quot; -&quot;00&quot; &quot;;&quot; &quot;@&quot; &quot;"/>
    <numFmt numFmtId="166" formatCode="&quot; &quot;#,##0.00&quot; &quot;;&quot;-&quot;#,##0.00&quot; &quot;;&quot; -&quot;00&quot; &quot;;&quot; &quot;@&quot; &quot;"/>
    <numFmt numFmtId="167" formatCode="&quot; &quot;#,##0.00&quot;   &quot;;&quot;-&quot;#,##0.00&quot;   &quot;;&quot; -&quot;00&quot;   &quot;;&quot; &quot;@&quot; &quot;"/>
  </numFmts>
  <fonts count="68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9"/>
      <color rgb="FF000000"/>
      <name val="Calibri"/>
      <family val="2"/>
    </font>
    <font>
      <b/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0"/>
      <color rgb="FF000000"/>
      <name val="Times New Roman"/>
      <family val="1"/>
    </font>
    <font>
      <b/>
      <u/>
      <sz val="10"/>
      <color rgb="FF000000"/>
      <name val="Cambria"/>
      <family val="1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8"/>
      <name val="Times New Roman"/>
      <family val="1"/>
    </font>
    <font>
      <b/>
      <sz val="10"/>
      <color rgb="FF000000"/>
      <name val="Calibri"/>
      <family val="2"/>
    </font>
    <font>
      <b/>
      <sz val="24"/>
      <color rgb="FF000000"/>
      <name val="Calibri"/>
      <family val="2"/>
    </font>
    <font>
      <b/>
      <sz val="10"/>
      <color theme="1"/>
      <name val="Times New Roman"/>
      <family val="1"/>
    </font>
    <font>
      <b/>
      <sz val="11"/>
      <color rgb="FFFFFF00"/>
      <name val="Calibri"/>
      <family val="2"/>
      <scheme val="minor"/>
    </font>
    <font>
      <b/>
      <sz val="9"/>
      <color theme="1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rgb="FFFF0000"/>
      <name val="Calibri"/>
      <family val="2"/>
      <scheme val="minor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b/>
      <sz val="22"/>
      <color rgb="FF000000"/>
      <name val="Times New Roman"/>
      <family val="1"/>
    </font>
    <font>
      <sz val="8"/>
      <name val="Times New Roman"/>
      <family val="1"/>
    </font>
    <font>
      <u/>
      <sz val="10"/>
      <color rgb="FF000000"/>
      <name val="Times New Roman"/>
      <family val="1"/>
    </font>
    <font>
      <b/>
      <sz val="12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b/>
      <sz val="10"/>
      <color theme="1"/>
      <name val="Calibri"/>
      <family val="2"/>
      <scheme val="minor"/>
    </font>
    <font>
      <sz val="9"/>
      <color rgb="FF000000"/>
      <name val="Leelawadee"/>
      <family val="2"/>
    </font>
    <font>
      <b/>
      <sz val="10"/>
      <color rgb="FFFFFF00"/>
      <name val="Calibri"/>
      <family val="2"/>
      <scheme val="minor"/>
    </font>
    <font>
      <b/>
      <sz val="12"/>
      <color theme="1"/>
      <name val="Times New Roman"/>
      <family val="1"/>
    </font>
    <font>
      <sz val="22"/>
      <color rgb="FF000000"/>
      <name val="Times New Roman"/>
      <family val="1"/>
    </font>
    <font>
      <b/>
      <u/>
      <sz val="10"/>
      <color rgb="FF000000"/>
      <name val="Leelawadee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8"/>
      <color rgb="FF000000"/>
      <name val="Calibri"/>
      <family val="2"/>
    </font>
    <font>
      <b/>
      <sz val="11"/>
      <color rgb="FF000000"/>
      <name val="Times New Roman"/>
      <family val="1"/>
    </font>
    <font>
      <sz val="14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Verdana"/>
      <family val="2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0"/>
      <name val="Times New Roman"/>
      <family val="1"/>
    </font>
    <font>
      <b/>
      <u/>
      <sz val="12"/>
      <color rgb="FF000000"/>
      <name val="Times New Roman"/>
      <family val="1"/>
    </font>
    <font>
      <b/>
      <u/>
      <sz val="12"/>
      <color rgb="FF000000"/>
      <name val="Cambria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  <scheme val="minor"/>
    </font>
    <font>
      <b/>
      <u/>
      <sz val="11"/>
      <color rgb="FF000000"/>
      <name val="Times New Roman"/>
      <family val="1"/>
    </font>
    <font>
      <sz val="12"/>
      <color rgb="FF000000"/>
      <name val="Calibri"/>
      <family val="2"/>
    </font>
    <font>
      <sz val="12"/>
      <color rgb="FF000000"/>
      <name val="Verdana"/>
      <family val="2"/>
    </font>
    <font>
      <b/>
      <sz val="10"/>
      <name val="Calibri"/>
      <family val="2"/>
    </font>
    <font>
      <b/>
      <sz val="11"/>
      <name val="Verdana"/>
      <family val="2"/>
    </font>
    <font>
      <b/>
      <sz val="11"/>
      <color rgb="FF000000"/>
      <name val="Verdana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6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60">
    <xf numFmtId="0" fontId="0" fillId="0" borderId="0" xfId="0" applyAlignment="1">
      <alignment horizontal="left" vertical="top"/>
    </xf>
    <xf numFmtId="43" fontId="0" fillId="0" borderId="0" xfId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0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9" fillId="0" borderId="0" xfId="0" applyFont="1"/>
    <xf numFmtId="0" fontId="10" fillId="0" borderId="5" xfId="0" applyFont="1" applyBorder="1" applyAlignment="1">
      <alignment horizontal="center" wrapText="1"/>
    </xf>
    <xf numFmtId="2" fontId="10" fillId="0" borderId="5" xfId="0" applyNumberFormat="1" applyFont="1" applyBorder="1" applyAlignment="1">
      <alignment horizontal="center" wrapText="1"/>
    </xf>
    <xf numFmtId="43" fontId="0" fillId="0" borderId="5" xfId="1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43" fontId="0" fillId="0" borderId="0" xfId="1" applyFont="1"/>
    <xf numFmtId="43" fontId="0" fillId="0" borderId="0" xfId="1" applyFont="1" applyAlignment="1">
      <alignment horizontal="center" vertical="center"/>
    </xf>
    <xf numFmtId="43" fontId="0" fillId="0" borderId="5" xfId="1" applyFont="1" applyBorder="1" applyAlignment="1">
      <alignment horizontal="center"/>
    </xf>
    <xf numFmtId="43" fontId="0" fillId="0" borderId="0" xfId="0" applyNumberFormat="1" applyAlignment="1">
      <alignment horizontal="left" vertical="top"/>
    </xf>
    <xf numFmtId="43" fontId="14" fillId="0" borderId="5" xfId="1" applyFont="1" applyBorder="1" applyAlignment="1">
      <alignment vertical="center"/>
    </xf>
    <xf numFmtId="2" fontId="14" fillId="0" borderId="5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43" fontId="14" fillId="0" borderId="5" xfId="1" applyFont="1" applyBorder="1" applyAlignment="1">
      <alignment horizontal="center" vertical="center"/>
    </xf>
    <xf numFmtId="43" fontId="0" fillId="0" borderId="5" xfId="1" applyFont="1" applyBorder="1" applyAlignment="1">
      <alignment horizontal="left" vertical="top"/>
    </xf>
    <xf numFmtId="43" fontId="0" fillId="0" borderId="5" xfId="1" applyFont="1" applyBorder="1" applyAlignment="1">
      <alignment horizontal="center" vertical="center"/>
    </xf>
    <xf numFmtId="43" fontId="3" fillId="0" borderId="5" xfId="1" applyFont="1" applyFill="1" applyBorder="1" applyAlignment="1">
      <alignment horizontal="center" vertical="center" shrinkToFit="1"/>
    </xf>
    <xf numFmtId="0" fontId="5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43" fontId="2" fillId="0" borderId="0" xfId="1" applyFont="1" applyAlignment="1">
      <alignment horizontal="left" vertical="top"/>
    </xf>
    <xf numFmtId="14" fontId="0" fillId="0" borderId="5" xfId="0" applyNumberFormat="1" applyBorder="1" applyAlignment="1">
      <alignment horizontal="center" vertical="top"/>
    </xf>
    <xf numFmtId="0" fontId="10" fillId="3" borderId="19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43" fontId="11" fillId="0" borderId="17" xfId="1" applyFont="1" applyBorder="1" applyAlignment="1">
      <alignment vertical="center"/>
    </xf>
    <xf numFmtId="43" fontId="5" fillId="3" borderId="5" xfId="1" applyFont="1" applyFill="1" applyBorder="1" applyAlignment="1">
      <alignment horizontal="center" vertical="center" wrapText="1"/>
    </xf>
    <xf numFmtId="43" fontId="5" fillId="0" borderId="5" xfId="1" applyFont="1" applyBorder="1" applyAlignment="1">
      <alignment horizontal="center" vertical="center"/>
    </xf>
    <xf numFmtId="43" fontId="17" fillId="0" borderId="5" xfId="1" applyFont="1" applyFill="1" applyBorder="1" applyAlignment="1">
      <alignment horizontal="left" vertical="center" indent="5" shrinkToFit="1"/>
    </xf>
    <xf numFmtId="43" fontId="14" fillId="0" borderId="5" xfId="1" applyFont="1" applyFill="1" applyBorder="1" applyAlignment="1">
      <alignment horizontal="center" vertical="center"/>
    </xf>
    <xf numFmtId="43" fontId="14" fillId="0" borderId="5" xfId="1" applyFont="1" applyFill="1" applyBorder="1" applyAlignment="1">
      <alignment vertical="center"/>
    </xf>
    <xf numFmtId="43" fontId="10" fillId="3" borderId="5" xfId="1" applyFont="1" applyFill="1" applyBorder="1" applyAlignment="1">
      <alignment horizontal="center" wrapText="1"/>
    </xf>
    <xf numFmtId="0" fontId="0" fillId="0" borderId="0" xfId="1" applyNumberFormat="1" applyFont="1"/>
    <xf numFmtId="0" fontId="0" fillId="0" borderId="0" xfId="1" applyNumberFormat="1" applyFont="1" applyAlignment="1">
      <alignment horizontal="left" vertical="top"/>
    </xf>
    <xf numFmtId="0" fontId="0" fillId="0" borderId="0" xfId="0" applyAlignment="1">
      <alignment horizontal="center" vertical="top"/>
    </xf>
    <xf numFmtId="43" fontId="0" fillId="0" borderId="5" xfId="1" applyFont="1" applyFill="1" applyBorder="1" applyAlignment="1">
      <alignment vertical="center"/>
    </xf>
    <xf numFmtId="0" fontId="14" fillId="0" borderId="5" xfId="1" applyNumberFormat="1" applyFont="1" applyBorder="1" applyAlignment="1">
      <alignment horizontal="center" vertical="center"/>
    </xf>
    <xf numFmtId="0" fontId="19" fillId="6" borderId="12" xfId="0" applyFont="1" applyFill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/>
    </xf>
    <xf numFmtId="43" fontId="21" fillId="0" borderId="5" xfId="1" applyFont="1" applyFill="1" applyBorder="1" applyAlignment="1">
      <alignment horizontal="right"/>
    </xf>
    <xf numFmtId="43" fontId="21" fillId="0" borderId="5" xfId="1" applyFont="1" applyFill="1" applyBorder="1" applyAlignment="1"/>
    <xf numFmtId="14" fontId="0" fillId="0" borderId="0" xfId="0" applyNumberFormat="1" applyAlignment="1">
      <alignment horizontal="center"/>
    </xf>
    <xf numFmtId="43" fontId="0" fillId="0" borderId="0" xfId="1" applyFont="1" applyAlignment="1">
      <alignment horizontal="right"/>
    </xf>
    <xf numFmtId="43" fontId="0" fillId="0" borderId="0" xfId="1" applyFont="1" applyAlignment="1"/>
    <xf numFmtId="0" fontId="0" fillId="0" borderId="9" xfId="0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14" fontId="2" fillId="0" borderId="5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43" fontId="0" fillId="0" borderId="5" xfId="1" applyFont="1" applyBorder="1" applyAlignment="1"/>
    <xf numFmtId="0" fontId="10" fillId="0" borderId="5" xfId="0" applyFont="1" applyBorder="1" applyAlignment="1">
      <alignment horizontal="center"/>
    </xf>
    <xf numFmtId="9" fontId="26" fillId="0" borderId="0" xfId="0" applyNumberFormat="1" applyFont="1"/>
    <xf numFmtId="43" fontId="4" fillId="0" borderId="5" xfId="1" applyFont="1" applyBorder="1" applyAlignment="1">
      <alignment horizontal="center" vertical="center" wrapText="1"/>
    </xf>
    <xf numFmtId="43" fontId="0" fillId="0" borderId="0" xfId="1" applyFont="1" applyBorder="1" applyAlignment="1">
      <alignment horizontal="center" vertical="center"/>
    </xf>
    <xf numFmtId="43" fontId="0" fillId="0" borderId="0" xfId="1" applyFont="1" applyAlignment="1">
      <alignment horizontal="center"/>
    </xf>
    <xf numFmtId="43" fontId="0" fillId="0" borderId="0" xfId="1" applyFont="1" applyBorder="1" applyAlignment="1">
      <alignment horizontal="left" vertical="top"/>
    </xf>
    <xf numFmtId="43" fontId="0" fillId="0" borderId="0" xfId="1" applyFont="1" applyFill="1" applyBorder="1" applyAlignment="1">
      <alignment horizontal="left" vertical="top"/>
    </xf>
    <xf numFmtId="0" fontId="0" fillId="0" borderId="0" xfId="1" applyNumberFormat="1" applyFont="1" applyFill="1" applyBorder="1" applyAlignment="1">
      <alignment horizontal="left" vertical="top"/>
    </xf>
    <xf numFmtId="164" fontId="23" fillId="0" borderId="0" xfId="0" applyNumberFormat="1" applyFont="1" applyAlignment="1">
      <alignment horizontal="center"/>
    </xf>
    <xf numFmtId="0" fontId="0" fillId="7" borderId="0" xfId="0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43" fontId="0" fillId="7" borderId="0" xfId="1" applyFont="1" applyFill="1" applyAlignment="1">
      <alignment horizontal="left" vertical="top"/>
    </xf>
    <xf numFmtId="0" fontId="2" fillId="0" borderId="5" xfId="0" applyFont="1" applyBorder="1" applyAlignment="1">
      <alignment horizontal="center" vertical="center"/>
    </xf>
    <xf numFmtId="14" fontId="0" fillId="0" borderId="5" xfId="0" applyNumberFormat="1" applyBorder="1" applyAlignment="1">
      <alignment vertical="center"/>
    </xf>
    <xf numFmtId="14" fontId="0" fillId="0" borderId="0" xfId="0" applyNumberFormat="1" applyAlignment="1">
      <alignment horizontal="left" vertical="top"/>
    </xf>
    <xf numFmtId="0" fontId="6" fillId="0" borderId="0" xfId="0" applyFont="1" applyAlignment="1">
      <alignment horizontal="center" vertical="top" textRotation="45"/>
    </xf>
    <xf numFmtId="2" fontId="2" fillId="0" borderId="0" xfId="0" applyNumberFormat="1" applyFont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43" fontId="5" fillId="4" borderId="5" xfId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4" fontId="0" fillId="0" borderId="5" xfId="0" applyNumberForma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43" fontId="0" fillId="0" borderId="5" xfId="1" applyFont="1" applyBorder="1" applyAlignment="1">
      <alignment horizontal="left" vertical="center"/>
    </xf>
    <xf numFmtId="0" fontId="28" fillId="0" borderId="0" xfId="0" applyFont="1" applyAlignment="1">
      <alignment horizontal="left" vertical="top"/>
    </xf>
    <xf numFmtId="2" fontId="10" fillId="0" borderId="5" xfId="0" applyNumberFormat="1" applyFont="1" applyBorder="1" applyAlignment="1">
      <alignment horizontal="center"/>
    </xf>
    <xf numFmtId="14" fontId="0" fillId="0" borderId="5" xfId="0" applyNumberFormat="1" applyBorder="1" applyAlignment="1">
      <alignment horizontal="left" vertical="top"/>
    </xf>
    <xf numFmtId="43" fontId="2" fillId="0" borderId="5" xfId="1" applyFont="1" applyBorder="1" applyAlignment="1">
      <alignment horizontal="center" vertical="center"/>
    </xf>
    <xf numFmtId="43" fontId="16" fillId="5" borderId="10" xfId="1" applyFont="1" applyFill="1" applyBorder="1" applyAlignment="1">
      <alignment horizontal="center" vertical="center" shrinkToFit="1"/>
    </xf>
    <xf numFmtId="14" fontId="0" fillId="0" borderId="5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43" fontId="2" fillId="0" borderId="5" xfId="1" applyFont="1" applyBorder="1" applyAlignment="1">
      <alignment horizontal="center" vertical="center" wrapText="1"/>
    </xf>
    <xf numFmtId="43" fontId="18" fillId="5" borderId="5" xfId="1" applyFont="1" applyFill="1" applyBorder="1" applyAlignment="1">
      <alignment horizontal="center" vertical="center"/>
    </xf>
    <xf numFmtId="43" fontId="16" fillId="5" borderId="11" xfId="1" applyFont="1" applyFill="1" applyBorder="1" applyAlignment="1">
      <alignment horizontal="center" vertical="center" shrinkToFit="1"/>
    </xf>
    <xf numFmtId="14" fontId="18" fillId="5" borderId="5" xfId="0" applyNumberFormat="1" applyFont="1" applyFill="1" applyBorder="1" applyAlignment="1">
      <alignment horizontal="center" vertical="center"/>
    </xf>
    <xf numFmtId="43" fontId="18" fillId="5" borderId="10" xfId="1" applyFont="1" applyFill="1" applyBorder="1" applyAlignment="1">
      <alignment horizontal="center" vertical="center"/>
    </xf>
    <xf numFmtId="14" fontId="18" fillId="5" borderId="10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0" fontId="18" fillId="5" borderId="22" xfId="1" applyNumberFormat="1" applyFont="1" applyFill="1" applyBorder="1" applyAlignment="1">
      <alignment horizontal="center" vertical="center"/>
    </xf>
    <xf numFmtId="43" fontId="14" fillId="0" borderId="5" xfId="1" applyFont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32" fillId="3" borderId="24" xfId="0" applyFont="1" applyFill="1" applyBorder="1" applyAlignment="1">
      <alignment horizontal="center" vertical="center" wrapText="1"/>
    </xf>
    <xf numFmtId="2" fontId="16" fillId="3" borderId="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19" fillId="6" borderId="12" xfId="0" applyFont="1" applyFill="1" applyBorder="1" applyAlignment="1">
      <alignment horizontal="center" vertical="center" wrapText="1"/>
    </xf>
    <xf numFmtId="0" fontId="20" fillId="0" borderId="5" xfId="1" applyNumberFormat="1" applyFont="1" applyBorder="1" applyAlignment="1">
      <alignment horizontal="center"/>
    </xf>
    <xf numFmtId="14" fontId="34" fillId="6" borderId="10" xfId="1" applyNumberFormat="1" applyFont="1" applyFill="1" applyBorder="1" applyAlignment="1">
      <alignment horizontal="center" vertical="center" wrapText="1"/>
    </xf>
    <xf numFmtId="0" fontId="34" fillId="6" borderId="10" xfId="0" applyFont="1" applyFill="1" applyBorder="1" applyAlignment="1">
      <alignment horizontal="center" vertical="center" wrapText="1"/>
    </xf>
    <xf numFmtId="43" fontId="34" fillId="6" borderId="10" xfId="1" applyFont="1" applyFill="1" applyBorder="1" applyAlignment="1">
      <alignment horizontal="center" vertical="center"/>
    </xf>
    <xf numFmtId="43" fontId="34" fillId="6" borderId="10" xfId="1" applyFont="1" applyFill="1" applyBorder="1" applyAlignment="1">
      <alignment horizontal="center" vertical="center" wrapText="1"/>
    </xf>
    <xf numFmtId="0" fontId="19" fillId="6" borderId="16" xfId="0" applyFont="1" applyFill="1" applyBorder="1" applyAlignment="1">
      <alignment horizontal="center" vertical="center"/>
    </xf>
    <xf numFmtId="14" fontId="20" fillId="0" borderId="0" xfId="0" applyNumberFormat="1" applyFont="1" applyAlignment="1">
      <alignment horizontal="center"/>
    </xf>
    <xf numFmtId="43" fontId="20" fillId="0" borderId="0" xfId="1" applyFont="1" applyBorder="1" applyAlignment="1">
      <alignment horizontal="right"/>
    </xf>
    <xf numFmtId="43" fontId="20" fillId="0" borderId="0" xfId="1" applyFont="1" applyFill="1" applyBorder="1" applyAlignment="1">
      <alignment horizontal="right"/>
    </xf>
    <xf numFmtId="0" fontId="20" fillId="0" borderId="0" xfId="1" applyNumberFormat="1" applyFont="1" applyBorder="1" applyAlignment="1">
      <alignment horizontal="center"/>
    </xf>
    <xf numFmtId="0" fontId="20" fillId="0" borderId="0" xfId="0" applyFont="1"/>
    <xf numFmtId="0" fontId="20" fillId="0" borderId="0" xfId="1" applyNumberFormat="1" applyFont="1" applyFill="1" applyBorder="1" applyAlignment="1">
      <alignment horizontal="center"/>
    </xf>
    <xf numFmtId="14" fontId="38" fillId="0" borderId="10" xfId="1" applyNumberFormat="1" applyFont="1" applyFill="1" applyBorder="1" applyAlignment="1">
      <alignment horizontal="center" vertical="center" shrinkToFit="1"/>
    </xf>
    <xf numFmtId="14" fontId="3" fillId="0" borderId="5" xfId="1" applyNumberFormat="1" applyFont="1" applyFill="1" applyBorder="1" applyAlignment="1">
      <alignment horizontal="center" vertical="center" shrinkToFit="1"/>
    </xf>
    <xf numFmtId="0" fontId="21" fillId="0" borderId="5" xfId="0" applyFont="1" applyBorder="1" applyAlignment="1">
      <alignment horizontal="center"/>
    </xf>
    <xf numFmtId="1" fontId="21" fillId="0" borderId="5" xfId="0" applyNumberFormat="1" applyFont="1" applyBorder="1" applyAlignment="1">
      <alignment horizontal="center"/>
    </xf>
    <xf numFmtId="14" fontId="21" fillId="0" borderId="5" xfId="0" applyNumberFormat="1" applyFont="1" applyBorder="1" applyAlignment="1">
      <alignment horizontal="center"/>
    </xf>
    <xf numFmtId="0" fontId="40" fillId="4" borderId="30" xfId="0" applyFont="1" applyFill="1" applyBorder="1" applyAlignment="1">
      <alignment horizontal="center" vertical="center" wrapText="1"/>
    </xf>
    <xf numFmtId="43" fontId="40" fillId="4" borderId="30" xfId="1" applyFont="1" applyFill="1" applyBorder="1" applyAlignment="1">
      <alignment horizontal="center" vertical="center" wrapText="1"/>
    </xf>
    <xf numFmtId="43" fontId="40" fillId="4" borderId="36" xfId="1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/>
    </xf>
    <xf numFmtId="43" fontId="10" fillId="0" borderId="5" xfId="1" applyFont="1" applyFill="1" applyBorder="1" applyAlignment="1">
      <alignment horizontal="center" vertical="center" shrinkToFit="1"/>
    </xf>
    <xf numFmtId="14" fontId="10" fillId="0" borderId="5" xfId="1" applyNumberFormat="1" applyFont="1" applyFill="1" applyBorder="1" applyAlignment="1">
      <alignment horizontal="center" vertical="center" shrinkToFit="1"/>
    </xf>
    <xf numFmtId="14" fontId="10" fillId="0" borderId="5" xfId="1" applyNumberFormat="1" applyFont="1" applyFill="1" applyBorder="1" applyAlignment="1">
      <alignment horizontal="center" vertical="center" wrapText="1" shrinkToFit="1"/>
    </xf>
    <xf numFmtId="43" fontId="10" fillId="0" borderId="0" xfId="1" applyFont="1" applyFill="1" applyBorder="1" applyAlignment="1">
      <alignment horizontal="center" vertical="center" shrinkToFit="1"/>
    </xf>
    <xf numFmtId="14" fontId="10" fillId="0" borderId="0" xfId="1" applyNumberFormat="1" applyFont="1" applyFill="1" applyBorder="1" applyAlignment="1">
      <alignment horizontal="center" vertical="center" shrinkToFit="1"/>
    </xf>
    <xf numFmtId="43" fontId="14" fillId="0" borderId="0" xfId="1" applyFont="1" applyFill="1" applyBorder="1" applyAlignment="1">
      <alignment vertical="center"/>
    </xf>
    <xf numFmtId="0" fontId="39" fillId="4" borderId="31" xfId="0" applyFont="1" applyFill="1" applyBorder="1" applyAlignment="1">
      <alignment horizontal="center" vertical="center" wrapText="1"/>
    </xf>
    <xf numFmtId="43" fontId="39" fillId="4" borderId="31" xfId="1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 vertical="center"/>
    </xf>
    <xf numFmtId="43" fontId="25" fillId="0" borderId="5" xfId="1" applyFont="1" applyFill="1" applyBorder="1" applyAlignment="1">
      <alignment vertical="center"/>
    </xf>
    <xf numFmtId="0" fontId="10" fillId="3" borderId="10" xfId="0" applyFont="1" applyFill="1" applyBorder="1" applyAlignment="1">
      <alignment horizontal="center" wrapText="1"/>
    </xf>
    <xf numFmtId="0" fontId="10" fillId="3" borderId="10" xfId="0" applyFont="1" applyFill="1" applyBorder="1" applyAlignment="1">
      <alignment horizontal="center" vertical="center" wrapText="1"/>
    </xf>
    <xf numFmtId="2" fontId="10" fillId="3" borderId="10" xfId="0" applyNumberFormat="1" applyFont="1" applyFill="1" applyBorder="1" applyAlignment="1">
      <alignment horizontal="center" wrapText="1"/>
    </xf>
    <xf numFmtId="43" fontId="0" fillId="0" borderId="5" xfId="1" applyFont="1" applyFill="1" applyBorder="1" applyAlignment="1">
      <alignment horizontal="left" vertical="top"/>
    </xf>
    <xf numFmtId="0" fontId="10" fillId="0" borderId="6" xfId="0" applyFont="1" applyBorder="1" applyAlignment="1">
      <alignment horizontal="center" vertical="center"/>
    </xf>
    <xf numFmtId="43" fontId="10" fillId="0" borderId="3" xfId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43" fontId="5" fillId="0" borderId="10" xfId="1" applyFont="1" applyBorder="1" applyAlignment="1">
      <alignment horizontal="center" vertical="center"/>
    </xf>
    <xf numFmtId="0" fontId="18" fillId="0" borderId="5" xfId="1" applyNumberFormat="1" applyFont="1" applyFill="1" applyBorder="1" applyAlignment="1">
      <alignment horizontal="center" vertical="center"/>
    </xf>
    <xf numFmtId="0" fontId="18" fillId="0" borderId="5" xfId="1" applyNumberFormat="1" applyFont="1" applyBorder="1" applyAlignment="1">
      <alignment horizontal="center" vertical="center"/>
    </xf>
    <xf numFmtId="0" fontId="18" fillId="0" borderId="5" xfId="1" applyNumberFormat="1" applyFont="1" applyBorder="1" applyAlignment="1">
      <alignment horizontal="center" vertical="center" wrapText="1"/>
    </xf>
    <xf numFmtId="0" fontId="5" fillId="0" borderId="0" xfId="1" applyNumberFormat="1" applyFont="1" applyAlignment="1">
      <alignment horizontal="left" vertical="top"/>
    </xf>
    <xf numFmtId="43" fontId="0" fillId="0" borderId="5" xfId="1" applyFont="1" applyBorder="1" applyAlignment="1">
      <alignment horizontal="center" vertical="top"/>
    </xf>
    <xf numFmtId="43" fontId="10" fillId="0" borderId="5" xfId="1" applyFont="1" applyBorder="1" applyAlignment="1">
      <alignment horizontal="center" vertical="center"/>
    </xf>
    <xf numFmtId="0" fontId="0" fillId="0" borderId="10" xfId="0" applyBorder="1" applyAlignment="1">
      <alignment horizontal="left" vertical="top"/>
    </xf>
    <xf numFmtId="0" fontId="10" fillId="0" borderId="5" xfId="1" applyNumberFormat="1" applyFont="1" applyFill="1" applyBorder="1" applyAlignment="1">
      <alignment horizontal="center" vertical="center" shrinkToFit="1"/>
    </xf>
    <xf numFmtId="43" fontId="16" fillId="0" borderId="10" xfId="1" applyFont="1" applyFill="1" applyBorder="1" applyAlignment="1">
      <alignment horizontal="center" vertical="center" shrinkToFit="1"/>
    </xf>
    <xf numFmtId="43" fontId="16" fillId="0" borderId="5" xfId="1" applyFont="1" applyFill="1" applyBorder="1" applyAlignment="1">
      <alignment horizontal="center" vertical="center" shrinkToFit="1"/>
    </xf>
    <xf numFmtId="43" fontId="5" fillId="0" borderId="0" xfId="1" applyFont="1" applyAlignment="1">
      <alignment horizontal="left" vertical="top"/>
    </xf>
    <xf numFmtId="43" fontId="14" fillId="10" borderId="5" xfId="1" applyFont="1" applyFill="1" applyBorder="1" applyAlignment="1">
      <alignment vertical="center"/>
    </xf>
    <xf numFmtId="43" fontId="5" fillId="10" borderId="5" xfId="1" applyFont="1" applyFill="1" applyBorder="1" applyAlignment="1">
      <alignment vertical="center"/>
    </xf>
    <xf numFmtId="14" fontId="0" fillId="10" borderId="5" xfId="1" applyNumberFormat="1" applyFont="1" applyFill="1" applyBorder="1" applyAlignment="1">
      <alignment vertical="center"/>
    </xf>
    <xf numFmtId="43" fontId="0" fillId="10" borderId="5" xfId="1" applyFont="1" applyFill="1" applyBorder="1" applyAlignment="1">
      <alignment vertical="center"/>
    </xf>
    <xf numFmtId="14" fontId="2" fillId="10" borderId="5" xfId="0" applyNumberFormat="1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vertical="center"/>
    </xf>
    <xf numFmtId="14" fontId="2" fillId="10" borderId="5" xfId="0" applyNumberFormat="1" applyFont="1" applyFill="1" applyBorder="1" applyAlignment="1">
      <alignment vertical="center"/>
    </xf>
    <xf numFmtId="43" fontId="14" fillId="11" borderId="5" xfId="1" applyFont="1" applyFill="1" applyBorder="1" applyAlignment="1">
      <alignment vertical="center" wrapText="1"/>
    </xf>
    <xf numFmtId="43" fontId="5" fillId="11" borderId="5" xfId="1" applyFont="1" applyFill="1" applyBorder="1" applyAlignment="1">
      <alignment vertical="center"/>
    </xf>
    <xf numFmtId="14" fontId="0" fillId="11" borderId="5" xfId="1" applyNumberFormat="1" applyFont="1" applyFill="1" applyBorder="1" applyAlignment="1">
      <alignment vertical="center"/>
    </xf>
    <xf numFmtId="43" fontId="0" fillId="11" borderId="5" xfId="1" applyFont="1" applyFill="1" applyBorder="1" applyAlignment="1">
      <alignment vertical="center"/>
    </xf>
    <xf numFmtId="14" fontId="0" fillId="11" borderId="5" xfId="0" applyNumberFormat="1" applyFill="1" applyBorder="1" applyAlignment="1">
      <alignment vertical="center"/>
    </xf>
    <xf numFmtId="0" fontId="0" fillId="11" borderId="5" xfId="0" applyFill="1" applyBorder="1" applyAlignment="1">
      <alignment vertical="center"/>
    </xf>
    <xf numFmtId="2" fontId="10" fillId="0" borderId="6" xfId="0" applyNumberFormat="1" applyFont="1" applyBorder="1" applyAlignment="1">
      <alignment horizontal="center" wrapText="1"/>
    </xf>
    <xf numFmtId="0" fontId="2" fillId="0" borderId="9" xfId="0" applyFont="1" applyBorder="1" applyAlignment="1">
      <alignment horizontal="left" vertical="top"/>
    </xf>
    <xf numFmtId="43" fontId="0" fillId="0" borderId="9" xfId="1" applyFont="1" applyBorder="1" applyAlignment="1">
      <alignment horizontal="center"/>
    </xf>
    <xf numFmtId="43" fontId="16" fillId="10" borderId="5" xfId="1" applyFont="1" applyFill="1" applyBorder="1" applyAlignment="1">
      <alignment horizontal="center" vertical="center" shrinkToFit="1"/>
    </xf>
    <xf numFmtId="14" fontId="5" fillId="10" borderId="5" xfId="0" applyNumberFormat="1" applyFont="1" applyFill="1" applyBorder="1" applyAlignment="1">
      <alignment horizontal="center" vertical="center"/>
    </xf>
    <xf numFmtId="2" fontId="18" fillId="10" borderId="5" xfId="0" applyNumberFormat="1" applyFont="1" applyFill="1" applyBorder="1" applyAlignment="1">
      <alignment horizontal="center" vertical="center"/>
    </xf>
    <xf numFmtId="0" fontId="5" fillId="10" borderId="19" xfId="1" applyNumberFormat="1" applyFont="1" applyFill="1" applyBorder="1" applyAlignment="1">
      <alignment horizontal="center" vertical="center"/>
    </xf>
    <xf numFmtId="43" fontId="5" fillId="10" borderId="5" xfId="1" applyFont="1" applyFill="1" applyBorder="1" applyAlignment="1">
      <alignment horizontal="center" vertical="center"/>
    </xf>
    <xf numFmtId="0" fontId="5" fillId="10" borderId="5" xfId="1" applyNumberFormat="1" applyFont="1" applyFill="1" applyBorder="1" applyAlignment="1">
      <alignment horizontal="center" vertical="center"/>
    </xf>
    <xf numFmtId="43" fontId="5" fillId="10" borderId="10" xfId="1" applyFont="1" applyFill="1" applyBorder="1" applyAlignment="1">
      <alignment horizontal="center" vertical="center"/>
    </xf>
    <xf numFmtId="14" fontId="5" fillId="10" borderId="10" xfId="0" applyNumberFormat="1" applyFont="1" applyFill="1" applyBorder="1" applyAlignment="1">
      <alignment horizontal="center" vertical="center"/>
    </xf>
    <xf numFmtId="0" fontId="5" fillId="10" borderId="10" xfId="1" applyNumberFormat="1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textRotation="90" wrapText="1"/>
    </xf>
    <xf numFmtId="43" fontId="18" fillId="0" borderId="0" xfId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vertical="center"/>
    </xf>
    <xf numFmtId="0" fontId="0" fillId="3" borderId="5" xfId="0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 wrapText="1"/>
    </xf>
    <xf numFmtId="0" fontId="11" fillId="0" borderId="0" xfId="0" applyFont="1" applyAlignment="1">
      <alignment vertical="center"/>
    </xf>
    <xf numFmtId="43" fontId="14" fillId="0" borderId="9" xfId="1" applyFont="1" applyFill="1" applyBorder="1" applyAlignment="1">
      <alignment vertical="center" wrapText="1"/>
    </xf>
    <xf numFmtId="43" fontId="5" fillId="0" borderId="9" xfId="1" applyFont="1" applyFill="1" applyBorder="1" applyAlignment="1">
      <alignment vertical="center"/>
    </xf>
    <xf numFmtId="14" fontId="0" fillId="0" borderId="9" xfId="1" applyNumberFormat="1" applyFont="1" applyFill="1" applyBorder="1" applyAlignment="1">
      <alignment vertical="center"/>
    </xf>
    <xf numFmtId="43" fontId="0" fillId="0" borderId="9" xfId="1" applyFont="1" applyFill="1" applyBorder="1" applyAlignment="1">
      <alignment vertical="center"/>
    </xf>
    <xf numFmtId="14" fontId="0" fillId="0" borderId="9" xfId="0" applyNumberForma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43" fontId="10" fillId="0" borderId="5" xfId="1" applyFont="1" applyFill="1" applyBorder="1" applyAlignment="1">
      <alignment horizontal="center" vertical="center" wrapText="1" shrinkToFit="1"/>
    </xf>
    <xf numFmtId="43" fontId="39" fillId="0" borderId="5" xfId="1" applyFont="1" applyFill="1" applyBorder="1" applyAlignment="1">
      <alignment horizontal="center" vertical="center" wrapText="1" shrinkToFit="1"/>
    </xf>
    <xf numFmtId="0" fontId="10" fillId="4" borderId="5" xfId="0" applyFont="1" applyFill="1" applyBorder="1" applyAlignment="1">
      <alignment horizontal="center" wrapText="1"/>
    </xf>
    <xf numFmtId="2" fontId="10" fillId="4" borderId="5" xfId="0" applyNumberFormat="1" applyFont="1" applyFill="1" applyBorder="1" applyAlignment="1">
      <alignment horizontal="center" wrapText="1"/>
    </xf>
    <xf numFmtId="43" fontId="0" fillId="0" borderId="0" xfId="1" applyFont="1" applyBorder="1" applyAlignment="1">
      <alignment horizontal="center"/>
    </xf>
    <xf numFmtId="43" fontId="8" fillId="0" borderId="0" xfId="1" applyFont="1" applyAlignment="1">
      <alignment vertical="center"/>
    </xf>
    <xf numFmtId="43" fontId="0" fillId="0" borderId="5" xfId="1" applyFont="1" applyFill="1" applyBorder="1" applyAlignment="1">
      <alignment horizontal="center"/>
    </xf>
    <xf numFmtId="164" fontId="0" fillId="0" borderId="0" xfId="0" applyNumberFormat="1" applyAlignment="1">
      <alignment horizontal="left" vertical="top"/>
    </xf>
    <xf numFmtId="0" fontId="31" fillId="0" borderId="0" xfId="0" applyFont="1" applyAlignment="1">
      <alignment horizontal="left" vertical="top"/>
    </xf>
    <xf numFmtId="0" fontId="41" fillId="0" borderId="1" xfId="0" applyFont="1" applyBorder="1" applyAlignment="1">
      <alignment horizontal="center"/>
    </xf>
    <xf numFmtId="43" fontId="31" fillId="0" borderId="1" xfId="1" applyFont="1" applyFill="1" applyBorder="1"/>
    <xf numFmtId="0" fontId="31" fillId="0" borderId="1" xfId="0" applyFont="1" applyBorder="1"/>
    <xf numFmtId="0" fontId="31" fillId="0" borderId="0" xfId="0" applyFont="1"/>
    <xf numFmtId="0" fontId="31" fillId="0" borderId="0" xfId="0" applyFont="1" applyAlignment="1">
      <alignment horizontal="center"/>
    </xf>
    <xf numFmtId="43" fontId="39" fillId="0" borderId="5" xfId="1" applyFont="1" applyFill="1" applyBorder="1" applyAlignment="1">
      <alignment vertical="center" shrinkToFit="1"/>
    </xf>
    <xf numFmtId="43" fontId="10" fillId="0" borderId="5" xfId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20" fillId="0" borderId="5" xfId="1" applyNumberFormat="1" applyFont="1" applyFill="1" applyBorder="1" applyAlignment="1">
      <alignment horizontal="center"/>
    </xf>
    <xf numFmtId="0" fontId="20" fillId="0" borderId="5" xfId="0" applyFont="1" applyBorder="1"/>
    <xf numFmtId="43" fontId="20" fillId="0" borderId="5" xfId="1" applyFont="1" applyFill="1" applyBorder="1" applyAlignment="1">
      <alignment horizontal="right"/>
    </xf>
    <xf numFmtId="0" fontId="20" fillId="0" borderId="0" xfId="0" applyFont="1" applyAlignment="1">
      <alignment horizontal="center"/>
    </xf>
    <xf numFmtId="43" fontId="20" fillId="0" borderId="16" xfId="0" applyNumberFormat="1" applyFont="1" applyBorder="1" applyAlignment="1">
      <alignment horizontal="right"/>
    </xf>
    <xf numFmtId="0" fontId="5" fillId="0" borderId="10" xfId="0" applyFont="1" applyBorder="1" applyAlignment="1">
      <alignment horizontal="center" vertical="center" wrapText="1"/>
    </xf>
    <xf numFmtId="167" fontId="46" fillId="0" borderId="0" xfId="0" applyNumberFormat="1" applyFont="1"/>
    <xf numFmtId="0" fontId="41" fillId="0" borderId="2" xfId="0" applyFont="1" applyBorder="1" applyAlignment="1">
      <alignment horizontal="center"/>
    </xf>
    <xf numFmtId="14" fontId="31" fillId="0" borderId="0" xfId="0" applyNumberFormat="1" applyFont="1"/>
    <xf numFmtId="14" fontId="31" fillId="0" borderId="0" xfId="0" applyNumberFormat="1" applyFont="1" applyAlignment="1">
      <alignment horizontal="center"/>
    </xf>
    <xf numFmtId="43" fontId="31" fillId="0" borderId="0" xfId="1" applyFont="1" applyFill="1" applyBorder="1"/>
    <xf numFmtId="14" fontId="31" fillId="0" borderId="0" xfId="0" applyNumberFormat="1" applyFont="1" applyAlignment="1">
      <alignment horizontal="right"/>
    </xf>
    <xf numFmtId="0" fontId="31" fillId="0" borderId="0" xfId="0" applyFont="1" applyAlignment="1">
      <alignment horizontal="center" vertical="center"/>
    </xf>
    <xf numFmtId="166" fontId="46" fillId="0" borderId="39" xfId="0" applyNumberFormat="1" applyFont="1" applyBorder="1" applyAlignment="1">
      <alignment vertical="center"/>
    </xf>
    <xf numFmtId="165" fontId="31" fillId="0" borderId="0" xfId="1" applyNumberFormat="1" applyFont="1" applyFill="1" applyBorder="1" applyAlignment="1">
      <alignment horizontal="center"/>
    </xf>
    <xf numFmtId="0" fontId="31" fillId="0" borderId="0" xfId="0" applyFont="1" applyAlignment="1">
      <alignment horizontal="right"/>
    </xf>
    <xf numFmtId="43" fontId="44" fillId="0" borderId="0" xfId="1" applyFont="1" applyFill="1" applyBorder="1"/>
    <xf numFmtId="14" fontId="31" fillId="0" borderId="5" xfId="0" applyNumberFormat="1" applyFont="1" applyBorder="1"/>
    <xf numFmtId="0" fontId="31" fillId="0" borderId="5" xfId="0" applyFont="1" applyBorder="1"/>
    <xf numFmtId="43" fontId="31" fillId="0" borderId="5" xfId="1" applyFont="1" applyFill="1" applyBorder="1"/>
    <xf numFmtId="14" fontId="31" fillId="0" borderId="5" xfId="0" applyNumberFormat="1" applyFont="1" applyBorder="1" applyAlignment="1">
      <alignment horizontal="center"/>
    </xf>
    <xf numFmtId="0" fontId="5" fillId="4" borderId="21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31" fillId="0" borderId="19" xfId="0" applyFont="1" applyBorder="1"/>
    <xf numFmtId="14" fontId="31" fillId="0" borderId="21" xfId="0" applyNumberFormat="1" applyFont="1" applyBorder="1"/>
    <xf numFmtId="0" fontId="30" fillId="9" borderId="5" xfId="0" applyFont="1" applyFill="1" applyBorder="1" applyAlignment="1">
      <alignment horizontal="right"/>
    </xf>
    <xf numFmtId="43" fontId="30" fillId="9" borderId="5" xfId="1" applyFont="1" applyFill="1" applyBorder="1"/>
    <xf numFmtId="43" fontId="0" fillId="0" borderId="5" xfId="1" applyFont="1" applyFill="1" applyBorder="1" applyAlignment="1">
      <alignment horizontal="left" vertical="center"/>
    </xf>
    <xf numFmtId="14" fontId="31" fillId="0" borderId="1" xfId="0" applyNumberFormat="1" applyFont="1" applyBorder="1"/>
    <xf numFmtId="43" fontId="31" fillId="0" borderId="7" xfId="1" applyFont="1" applyFill="1" applyBorder="1"/>
    <xf numFmtId="14" fontId="31" fillId="0" borderId="1" xfId="0" applyNumberFormat="1" applyFont="1" applyBorder="1" applyAlignment="1">
      <alignment horizontal="right"/>
    </xf>
    <xf numFmtId="0" fontId="31" fillId="0" borderId="1" xfId="0" applyFont="1" applyBorder="1" applyAlignment="1">
      <alignment horizontal="center" vertical="center"/>
    </xf>
    <xf numFmtId="43" fontId="0" fillId="0" borderId="5" xfId="1" applyFont="1" applyFill="1" applyBorder="1" applyAlignment="1">
      <alignment horizontal="center" vertical="center"/>
    </xf>
    <xf numFmtId="43" fontId="16" fillId="5" borderId="5" xfId="1" applyFont="1" applyFill="1" applyBorder="1" applyAlignment="1">
      <alignment horizontal="center" vertical="center" shrinkToFit="1"/>
    </xf>
    <xf numFmtId="4" fontId="3" fillId="0" borderId="5" xfId="0" applyNumberFormat="1" applyFont="1" applyBorder="1" applyAlignment="1">
      <alignment horizontal="center" vertical="center" shrinkToFit="1"/>
    </xf>
    <xf numFmtId="43" fontId="18" fillId="0" borderId="10" xfId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0" fillId="0" borderId="5" xfId="1" applyFont="1" applyFill="1" applyBorder="1" applyAlignment="1">
      <alignment horizontal="center" vertical="top"/>
    </xf>
    <xf numFmtId="43" fontId="25" fillId="0" borderId="5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5" xfId="1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31" fillId="0" borderId="10" xfId="0" applyNumberFormat="1" applyFont="1" applyBorder="1" applyAlignment="1">
      <alignment horizontal="center"/>
    </xf>
    <xf numFmtId="0" fontId="41" fillId="0" borderId="1" xfId="0" applyFont="1" applyBorder="1" applyAlignment="1">
      <alignment horizontal="center" vertical="center"/>
    </xf>
    <xf numFmtId="43" fontId="31" fillId="0" borderId="1" xfId="1" applyFont="1" applyFill="1" applyBorder="1" applyAlignment="1">
      <alignment vertical="center"/>
    </xf>
    <xf numFmtId="43" fontId="31" fillId="0" borderId="14" xfId="1" applyFont="1" applyFill="1" applyBorder="1" applyAlignment="1">
      <alignment vertical="center"/>
    </xf>
    <xf numFmtId="43" fontId="31" fillId="0" borderId="3" xfId="1" applyFont="1" applyFill="1" applyBorder="1" applyAlignment="1">
      <alignment vertical="center"/>
    </xf>
    <xf numFmtId="43" fontId="31" fillId="0" borderId="13" xfId="1" applyFont="1" applyFill="1" applyBorder="1" applyAlignment="1">
      <alignment vertical="center"/>
    </xf>
    <xf numFmtId="43" fontId="44" fillId="0" borderId="3" xfId="1" applyFont="1" applyFill="1" applyBorder="1" applyAlignment="1">
      <alignment vertical="center"/>
    </xf>
    <xf numFmtId="43" fontId="44" fillId="0" borderId="5" xfId="1" applyFont="1" applyFill="1" applyBorder="1" applyAlignment="1">
      <alignment vertical="center"/>
    </xf>
    <xf numFmtId="43" fontId="44" fillId="0" borderId="13" xfId="1" applyFont="1" applyFill="1" applyBorder="1" applyAlignment="1">
      <alignment horizontal="center" vertical="center"/>
    </xf>
    <xf numFmtId="4" fontId="31" fillId="0" borderId="21" xfId="0" applyNumberFormat="1" applyFont="1" applyBorder="1" applyAlignment="1">
      <alignment vertical="center"/>
    </xf>
    <xf numFmtId="14" fontId="31" fillId="0" borderId="1" xfId="0" applyNumberFormat="1" applyFont="1" applyBorder="1" applyAlignment="1">
      <alignment horizontal="center" vertical="center"/>
    </xf>
    <xf numFmtId="165" fontId="31" fillId="0" borderId="5" xfId="1" applyNumberFormat="1" applyFont="1" applyFill="1" applyBorder="1" applyAlignment="1">
      <alignment horizontal="center" vertical="center"/>
    </xf>
    <xf numFmtId="165" fontId="31" fillId="0" borderId="10" xfId="1" applyNumberFormat="1" applyFont="1" applyFill="1" applyBorder="1" applyAlignment="1">
      <alignment horizontal="center" vertical="center"/>
    </xf>
    <xf numFmtId="165" fontId="31" fillId="0" borderId="0" xfId="1" applyNumberFormat="1" applyFont="1" applyFill="1" applyBorder="1" applyAlignment="1">
      <alignment horizontal="center" vertical="center"/>
    </xf>
    <xf numFmtId="167" fontId="32" fillId="8" borderId="5" xfId="0" applyNumberFormat="1" applyFont="1" applyFill="1" applyBorder="1"/>
    <xf numFmtId="43" fontId="32" fillId="8" borderId="14" xfId="0" applyNumberFormat="1" applyFont="1" applyFill="1" applyBorder="1" applyAlignment="1">
      <alignment horizontal="center" vertical="center"/>
    </xf>
    <xf numFmtId="166" fontId="32" fillId="8" borderId="4" xfId="0" applyNumberFormat="1" applyFont="1" applyFill="1" applyBorder="1" applyAlignment="1">
      <alignment vertical="center"/>
    </xf>
    <xf numFmtId="0" fontId="31" fillId="0" borderId="2" xfId="0" applyFont="1" applyBorder="1"/>
    <xf numFmtId="14" fontId="0" fillId="0" borderId="10" xfId="0" applyNumberForma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164" fontId="0" fillId="0" borderId="5" xfId="0" applyNumberFormat="1" applyBorder="1" applyAlignment="1">
      <alignment vertical="center"/>
    </xf>
    <xf numFmtId="43" fontId="0" fillId="0" borderId="10" xfId="1" applyFont="1" applyFill="1" applyBorder="1" applyAlignment="1">
      <alignment horizontal="left" vertical="center"/>
    </xf>
    <xf numFmtId="43" fontId="5" fillId="0" borderId="10" xfId="1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 wrapText="1"/>
    </xf>
    <xf numFmtId="43" fontId="16" fillId="0" borderId="10" xfId="1" applyFont="1" applyFill="1" applyBorder="1" applyAlignment="1">
      <alignment horizontal="center" vertical="center" wrapText="1"/>
    </xf>
    <xf numFmtId="43" fontId="4" fillId="0" borderId="5" xfId="1" applyFont="1" applyFill="1" applyBorder="1" applyAlignment="1">
      <alignment horizontal="left" vertical="top"/>
    </xf>
    <xf numFmtId="43" fontId="4" fillId="0" borderId="5" xfId="1" applyFont="1" applyBorder="1" applyAlignment="1">
      <alignment horizontal="left" vertical="top"/>
    </xf>
    <xf numFmtId="14" fontId="0" fillId="0" borderId="5" xfId="1" applyNumberFormat="1" applyFont="1" applyFill="1" applyBorder="1" applyAlignment="1">
      <alignment vertical="center"/>
    </xf>
    <xf numFmtId="14" fontId="2" fillId="0" borderId="5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5" xfId="1" applyNumberFormat="1" applyFont="1" applyFill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 wrapText="1"/>
    </xf>
    <xf numFmtId="14" fontId="5" fillId="10" borderId="10" xfId="1" applyNumberFormat="1" applyFont="1" applyFill="1" applyBorder="1" applyAlignment="1">
      <alignment horizontal="center" vertical="center"/>
    </xf>
    <xf numFmtId="0" fontId="0" fillId="10" borderId="5" xfId="0" applyFill="1" applyBorder="1" applyAlignment="1">
      <alignment horizontal="left" vertical="top"/>
    </xf>
    <xf numFmtId="0" fontId="0" fillId="10" borderId="5" xfId="1" applyNumberFormat="1" applyFont="1" applyFill="1" applyBorder="1" applyAlignment="1">
      <alignment horizontal="left" vertical="top"/>
    </xf>
    <xf numFmtId="0" fontId="5" fillId="0" borderId="5" xfId="0" applyFont="1" applyBorder="1" applyAlignment="1">
      <alignment horizontal="center" vertical="center" textRotation="90" wrapText="1"/>
    </xf>
    <xf numFmtId="43" fontId="18" fillId="0" borderId="5" xfId="1" applyFont="1" applyFill="1" applyBorder="1" applyAlignment="1">
      <alignment horizontal="center" vertical="center"/>
    </xf>
    <xf numFmtId="43" fontId="5" fillId="10" borderId="10" xfId="1" applyFont="1" applyFill="1" applyBorder="1" applyAlignment="1">
      <alignment vertical="center"/>
    </xf>
    <xf numFmtId="43" fontId="5" fillId="10" borderId="9" xfId="1" applyFont="1" applyFill="1" applyBorder="1" applyAlignment="1">
      <alignment vertical="center"/>
    </xf>
    <xf numFmtId="0" fontId="0" fillId="0" borderId="0" xfId="1" applyNumberFormat="1" applyFont="1" applyAlignment="1">
      <alignment horizontal="center" vertical="center"/>
    </xf>
    <xf numFmtId="43" fontId="50" fillId="0" borderId="5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49" fillId="0" borderId="0" xfId="0" applyFont="1" applyAlignment="1">
      <alignment horizontal="left" vertical="top"/>
    </xf>
    <xf numFmtId="0" fontId="49" fillId="0" borderId="0" xfId="0" applyFont="1" applyAlignment="1">
      <alignment horizontal="center" vertical="center"/>
    </xf>
    <xf numFmtId="0" fontId="51" fillId="0" borderId="17" xfId="0" applyFont="1" applyBorder="1" applyAlignment="1">
      <alignment vertical="center"/>
    </xf>
    <xf numFmtId="0" fontId="51" fillId="0" borderId="17" xfId="0" applyFont="1" applyBorder="1" applyAlignment="1">
      <alignment horizontal="center" vertical="center"/>
    </xf>
    <xf numFmtId="43" fontId="49" fillId="0" borderId="0" xfId="1" applyFont="1" applyAlignment="1">
      <alignment horizontal="center" vertical="center"/>
    </xf>
    <xf numFmtId="43" fontId="49" fillId="0" borderId="0" xfId="1" applyFont="1"/>
    <xf numFmtId="0" fontId="49" fillId="0" borderId="0" xfId="0" applyFont="1"/>
    <xf numFmtId="0" fontId="49" fillId="0" borderId="0" xfId="0" applyFont="1" applyAlignment="1">
      <alignment horizontal="center" vertical="top"/>
    </xf>
    <xf numFmtId="43" fontId="49" fillId="0" borderId="0" xfId="1" applyFont="1" applyAlignment="1">
      <alignment horizontal="left" vertical="top"/>
    </xf>
    <xf numFmtId="0" fontId="49" fillId="0" borderId="5" xfId="0" applyFont="1" applyBorder="1" applyAlignment="1">
      <alignment horizontal="left" vertical="top"/>
    </xf>
    <xf numFmtId="43" fontId="53" fillId="0" borderId="5" xfId="1" applyFont="1" applyBorder="1" applyAlignment="1">
      <alignment horizontal="center" vertical="center"/>
    </xf>
    <xf numFmtId="14" fontId="53" fillId="0" borderId="5" xfId="0" applyNumberFormat="1" applyFont="1" applyBorder="1" applyAlignment="1">
      <alignment horizontal="center" vertical="center"/>
    </xf>
    <xf numFmtId="14" fontId="49" fillId="0" borderId="5" xfId="1" applyNumberFormat="1" applyFont="1" applyBorder="1" applyAlignment="1">
      <alignment horizontal="center" vertical="center"/>
    </xf>
    <xf numFmtId="43" fontId="49" fillId="0" borderId="5" xfId="1" applyFont="1" applyBorder="1" applyAlignment="1">
      <alignment horizontal="center" vertical="top"/>
    </xf>
    <xf numFmtId="43" fontId="49" fillId="0" borderId="5" xfId="1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 wrapText="1"/>
    </xf>
    <xf numFmtId="14" fontId="49" fillId="0" borderId="5" xfId="0" applyNumberFormat="1" applyFont="1" applyBorder="1" applyAlignment="1">
      <alignment horizontal="center" vertical="center"/>
    </xf>
    <xf numFmtId="14" fontId="49" fillId="0" borderId="5" xfId="0" applyNumberFormat="1" applyFont="1" applyBorder="1" applyAlignment="1">
      <alignment horizontal="center" vertical="top"/>
    </xf>
    <xf numFmtId="43" fontId="49" fillId="0" borderId="5" xfId="1" applyFont="1" applyBorder="1" applyAlignment="1">
      <alignment horizontal="left" vertical="top"/>
    </xf>
    <xf numFmtId="0" fontId="24" fillId="0" borderId="0" xfId="0" applyFont="1" applyAlignment="1">
      <alignment vertical="top"/>
    </xf>
    <xf numFmtId="0" fontId="49" fillId="0" borderId="0" xfId="0" applyFont="1" applyAlignment="1">
      <alignment vertical="center"/>
    </xf>
    <xf numFmtId="43" fontId="53" fillId="0" borderId="5" xfId="1" applyFont="1" applyBorder="1" applyAlignment="1">
      <alignment vertical="center"/>
    </xf>
    <xf numFmtId="43" fontId="49" fillId="0" borderId="5" xfId="1" applyFont="1" applyBorder="1" applyAlignment="1">
      <alignment vertical="center"/>
    </xf>
    <xf numFmtId="0" fontId="24" fillId="0" borderId="0" xfId="0" applyFont="1" applyAlignment="1">
      <alignment vertical="center"/>
    </xf>
    <xf numFmtId="0" fontId="10" fillId="3" borderId="24" xfId="0" applyFont="1" applyFill="1" applyBorder="1" applyAlignment="1">
      <alignment horizontal="center" vertical="center" wrapText="1"/>
    </xf>
    <xf numFmtId="43" fontId="10" fillId="3" borderId="10" xfId="1" applyFont="1" applyFill="1" applyBorder="1" applyAlignment="1">
      <alignment horizontal="center" wrapText="1"/>
    </xf>
    <xf numFmtId="0" fontId="42" fillId="3" borderId="10" xfId="0" applyFont="1" applyFill="1" applyBorder="1" applyAlignment="1">
      <alignment horizontal="center" vertical="center" wrapText="1"/>
    </xf>
    <xf numFmtId="14" fontId="48" fillId="0" borderId="5" xfId="1" applyNumberFormat="1" applyFont="1" applyFill="1" applyBorder="1" applyAlignment="1">
      <alignment horizontal="center" vertical="center"/>
    </xf>
    <xf numFmtId="14" fontId="48" fillId="0" borderId="5" xfId="0" applyNumberFormat="1" applyFont="1" applyBorder="1" applyAlignment="1">
      <alignment horizontal="left" vertical="top"/>
    </xf>
    <xf numFmtId="43" fontId="48" fillId="0" borderId="5" xfId="1" applyFont="1" applyBorder="1" applyAlignment="1">
      <alignment horizontal="left" vertical="top"/>
    </xf>
    <xf numFmtId="43" fontId="56" fillId="0" borderId="5" xfId="1" applyFont="1" applyFill="1" applyBorder="1" applyAlignment="1">
      <alignment horizontal="center" vertical="center" shrinkToFit="1"/>
    </xf>
    <xf numFmtId="43" fontId="5" fillId="0" borderId="5" xfId="1" applyFont="1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0" fontId="57" fillId="4" borderId="31" xfId="0" applyFont="1" applyFill="1" applyBorder="1" applyAlignment="1">
      <alignment horizontal="center" vertical="center" wrapText="1"/>
    </xf>
    <xf numFmtId="43" fontId="57" fillId="4" borderId="31" xfId="1" applyFont="1" applyFill="1" applyBorder="1" applyAlignment="1">
      <alignment horizontal="center" vertical="center" wrapText="1"/>
    </xf>
    <xf numFmtId="43" fontId="57" fillId="4" borderId="37" xfId="1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/>
    </xf>
    <xf numFmtId="43" fontId="9" fillId="0" borderId="5" xfId="1" applyFont="1" applyFill="1" applyBorder="1" applyAlignment="1">
      <alignment horizontal="center" vertical="center" wrapText="1" shrinkToFit="1"/>
    </xf>
    <xf numFmtId="43" fontId="57" fillId="0" borderId="5" xfId="1" applyFont="1" applyFill="1" applyBorder="1" applyAlignment="1">
      <alignment horizontal="center" vertical="center" wrapText="1" shrinkToFit="1"/>
    </xf>
    <xf numFmtId="0" fontId="9" fillId="0" borderId="5" xfId="1" applyNumberFormat="1" applyFont="1" applyFill="1" applyBorder="1" applyAlignment="1">
      <alignment horizontal="center" vertical="center" shrinkToFit="1"/>
    </xf>
    <xf numFmtId="14" fontId="9" fillId="0" borderId="5" xfId="1" applyNumberFormat="1" applyFont="1" applyFill="1" applyBorder="1" applyAlignment="1">
      <alignment horizontal="center" vertical="center" shrinkToFit="1"/>
    </xf>
    <xf numFmtId="43" fontId="9" fillId="0" borderId="5" xfId="1" applyFont="1" applyFill="1" applyBorder="1" applyAlignment="1">
      <alignment horizontal="center" vertical="center" shrinkToFit="1"/>
    </xf>
    <xf numFmtId="43" fontId="57" fillId="0" borderId="5" xfId="1" applyFont="1" applyFill="1" applyBorder="1" applyAlignment="1">
      <alignment horizontal="center" vertical="center" shrinkToFit="1"/>
    </xf>
    <xf numFmtId="43" fontId="57" fillId="0" borderId="5" xfId="1" applyFont="1" applyFill="1" applyBorder="1" applyAlignment="1">
      <alignment horizontal="center" vertical="center"/>
    </xf>
    <xf numFmtId="43" fontId="9" fillId="0" borderId="5" xfId="1" applyFont="1" applyFill="1" applyBorder="1" applyAlignment="1">
      <alignment horizontal="center" vertical="center"/>
    </xf>
    <xf numFmtId="43" fontId="58" fillId="0" borderId="5" xfId="1" applyFont="1" applyFill="1" applyBorder="1" applyAlignment="1">
      <alignment horizontal="center" vertical="center" shrinkToFit="1"/>
    </xf>
    <xf numFmtId="0" fontId="49" fillId="0" borderId="5" xfId="0" applyFont="1" applyBorder="1" applyAlignment="1">
      <alignment horizontal="center" vertical="center"/>
    </xf>
    <xf numFmtId="43" fontId="59" fillId="0" borderId="5" xfId="1" applyFont="1" applyFill="1" applyBorder="1" applyAlignment="1">
      <alignment horizontal="center" vertical="center"/>
    </xf>
    <xf numFmtId="43" fontId="24" fillId="0" borderId="5" xfId="1" applyFont="1" applyFill="1" applyBorder="1" applyAlignment="1">
      <alignment horizontal="center" vertical="center"/>
    </xf>
    <xf numFmtId="14" fontId="24" fillId="0" borderId="5" xfId="1" applyNumberFormat="1" applyFont="1" applyFill="1" applyBorder="1" applyAlignment="1">
      <alignment horizontal="center" vertical="center"/>
    </xf>
    <xf numFmtId="43" fontId="39" fillId="0" borderId="5" xfId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textRotation="90" wrapText="1"/>
    </xf>
    <xf numFmtId="14" fontId="2" fillId="0" borderId="5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90" wrapText="1"/>
    </xf>
    <xf numFmtId="14" fontId="2" fillId="0" borderId="0" xfId="1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0" fillId="0" borderId="17" xfId="0" applyFont="1" applyBorder="1" applyAlignment="1">
      <alignment vertical="center"/>
    </xf>
    <xf numFmtId="43" fontId="53" fillId="0" borderId="5" xfId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/>
    </xf>
    <xf numFmtId="43" fontId="0" fillId="0" borderId="5" xfId="1" applyFont="1" applyFill="1" applyBorder="1" applyAlignment="1"/>
    <xf numFmtId="43" fontId="0" fillId="0" borderId="5" xfId="0" applyNumberFormat="1" applyBorder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43" fontId="9" fillId="0" borderId="0" xfId="1" applyFont="1" applyFill="1" applyBorder="1" applyAlignment="1">
      <alignment horizontal="center" vertical="center" wrapText="1"/>
    </xf>
    <xf numFmtId="2" fontId="9" fillId="0" borderId="0" xfId="0" applyNumberFormat="1" applyFont="1" applyAlignment="1">
      <alignment horizontal="center" wrapText="1"/>
    </xf>
    <xf numFmtId="0" fontId="10" fillId="4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 wrapText="1"/>
    </xf>
    <xf numFmtId="0" fontId="49" fillId="0" borderId="5" xfId="0" applyFont="1" applyBorder="1" applyAlignment="1">
      <alignment horizontal="center" wrapText="1"/>
    </xf>
    <xf numFmtId="0" fontId="61" fillId="0" borderId="5" xfId="0" applyFont="1" applyBorder="1" applyAlignment="1">
      <alignment horizontal="center" wrapText="1"/>
    </xf>
    <xf numFmtId="2" fontId="61" fillId="0" borderId="5" xfId="0" applyNumberFormat="1" applyFont="1" applyBorder="1" applyAlignment="1">
      <alignment horizontal="center" wrapText="1"/>
    </xf>
    <xf numFmtId="43" fontId="54" fillId="0" borderId="5" xfId="1" applyFont="1" applyFill="1" applyBorder="1" applyAlignment="1">
      <alignment horizontal="center" vertical="center"/>
    </xf>
    <xf numFmtId="14" fontId="54" fillId="0" borderId="5" xfId="0" applyNumberFormat="1" applyFont="1" applyBorder="1" applyAlignment="1">
      <alignment horizontal="center" vertical="center"/>
    </xf>
    <xf numFmtId="164" fontId="53" fillId="0" borderId="5" xfId="1" applyNumberFormat="1" applyFont="1" applyBorder="1" applyAlignment="1">
      <alignment horizontal="center" vertical="center"/>
    </xf>
    <xf numFmtId="43" fontId="49" fillId="0" borderId="5" xfId="1" applyFont="1" applyFill="1" applyBorder="1" applyAlignment="1">
      <alignment horizontal="center" vertical="center"/>
    </xf>
    <xf numFmtId="43" fontId="49" fillId="0" borderId="10" xfId="1" applyFont="1" applyFill="1" applyBorder="1" applyAlignment="1">
      <alignment horizontal="center" vertical="center"/>
    </xf>
    <xf numFmtId="43" fontId="49" fillId="0" borderId="5" xfId="0" applyNumberFormat="1" applyFont="1" applyBorder="1" applyAlignment="1">
      <alignment horizontal="center" vertical="center"/>
    </xf>
    <xf numFmtId="14" fontId="49" fillId="0" borderId="19" xfId="0" applyNumberFormat="1" applyFont="1" applyBorder="1" applyAlignment="1">
      <alignment horizontal="center" vertical="center"/>
    </xf>
    <xf numFmtId="43" fontId="6" fillId="0" borderId="5" xfId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wrapText="1"/>
    </xf>
    <xf numFmtId="43" fontId="4" fillId="0" borderId="5" xfId="1" applyFont="1" applyFill="1" applyBorder="1" applyAlignment="1">
      <alignment horizontal="center" vertical="center" wrapText="1"/>
    </xf>
    <xf numFmtId="43" fontId="40" fillId="0" borderId="5" xfId="1" applyFont="1" applyFill="1" applyBorder="1" applyAlignment="1">
      <alignment horizontal="center" vertical="center" wrapText="1" shrinkToFit="1"/>
    </xf>
    <xf numFmtId="14" fontId="40" fillId="0" borderId="5" xfId="1" applyNumberFormat="1" applyFont="1" applyFill="1" applyBorder="1" applyAlignment="1">
      <alignment horizontal="center" vertical="center" wrapText="1" shrinkToFit="1"/>
    </xf>
    <xf numFmtId="0" fontId="63" fillId="0" borderId="5" xfId="1" applyNumberFormat="1" applyFont="1" applyFill="1" applyBorder="1" applyAlignment="1">
      <alignment horizontal="center" vertical="center" wrapText="1" shrinkToFit="1"/>
    </xf>
    <xf numFmtId="43" fontId="63" fillId="0" borderId="5" xfId="1" applyFont="1" applyFill="1" applyBorder="1" applyAlignment="1">
      <alignment horizontal="center" vertical="center" wrapText="1" shrinkToFit="1"/>
    </xf>
    <xf numFmtId="14" fontId="40" fillId="0" borderId="5" xfId="1" applyNumberFormat="1" applyFont="1" applyFill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wrapText="1"/>
    </xf>
    <xf numFmtId="43" fontId="18" fillId="5" borderId="5" xfId="1" applyFont="1" applyFill="1" applyBorder="1" applyAlignment="1">
      <alignment horizontal="center" vertical="center" wrapText="1"/>
    </xf>
    <xf numFmtId="2" fontId="18" fillId="5" borderId="5" xfId="0" applyNumberFormat="1" applyFont="1" applyFill="1" applyBorder="1" applyAlignment="1">
      <alignment horizontal="center" vertical="center"/>
    </xf>
    <xf numFmtId="0" fontId="18" fillId="5" borderId="5" xfId="1" applyNumberFormat="1" applyFont="1" applyFill="1" applyBorder="1" applyAlignment="1">
      <alignment horizontal="center" vertical="center"/>
    </xf>
    <xf numFmtId="0" fontId="63" fillId="4" borderId="30" xfId="0" applyFont="1" applyFill="1" applyBorder="1" applyAlignment="1">
      <alignment horizontal="center" vertical="center" wrapText="1"/>
    </xf>
    <xf numFmtId="43" fontId="63" fillId="4" borderId="30" xfId="1" applyFont="1" applyFill="1" applyBorder="1" applyAlignment="1">
      <alignment horizontal="center" vertical="center" wrapText="1"/>
    </xf>
    <xf numFmtId="43" fontId="16" fillId="0" borderId="11" xfId="1" applyFont="1" applyFill="1" applyBorder="1" applyAlignment="1">
      <alignment horizontal="center" vertical="center" shrinkToFit="1"/>
    </xf>
    <xf numFmtId="14" fontId="18" fillId="0" borderId="5" xfId="0" applyNumberFormat="1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0" fontId="18" fillId="0" borderId="22" xfId="1" applyNumberFormat="1" applyFont="1" applyFill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0" fontId="5" fillId="0" borderId="19" xfId="1" applyNumberFormat="1" applyFont="1" applyFill="1" applyBorder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/>
    </xf>
    <xf numFmtId="0" fontId="5" fillId="0" borderId="10" xfId="1" applyNumberFormat="1" applyFont="1" applyFill="1" applyBorder="1" applyAlignment="1">
      <alignment horizontal="center" vertical="center"/>
    </xf>
    <xf numFmtId="14" fontId="5" fillId="0" borderId="10" xfId="1" applyNumberFormat="1" applyFont="1" applyFill="1" applyBorder="1" applyAlignment="1">
      <alignment horizontal="center" vertical="center"/>
    </xf>
    <xf numFmtId="43" fontId="5" fillId="0" borderId="10" xfId="1" applyFont="1" applyFill="1" applyBorder="1" applyAlignment="1">
      <alignment vertical="center"/>
    </xf>
    <xf numFmtId="0" fontId="0" fillId="0" borderId="5" xfId="1" applyNumberFormat="1" applyFont="1" applyFill="1" applyBorder="1" applyAlignment="1">
      <alignment horizontal="left" vertical="top"/>
    </xf>
    <xf numFmtId="0" fontId="5" fillId="8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10" fillId="8" borderId="5" xfId="1" applyNumberFormat="1" applyFont="1" applyFill="1" applyBorder="1" applyAlignment="1">
      <alignment horizontal="center" vertical="center" wrapText="1"/>
    </xf>
    <xf numFmtId="2" fontId="10" fillId="8" borderId="5" xfId="0" applyNumberFormat="1" applyFont="1" applyFill="1" applyBorder="1" applyAlignment="1">
      <alignment horizontal="center" vertical="center" wrapText="1"/>
    </xf>
    <xf numFmtId="0" fontId="0" fillId="8" borderId="0" xfId="0" applyFill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textRotation="90" wrapText="1"/>
    </xf>
    <xf numFmtId="0" fontId="0" fillId="8" borderId="5" xfId="0" applyFill="1" applyBorder="1" applyAlignment="1">
      <alignment horizontal="left" vertical="top"/>
    </xf>
    <xf numFmtId="0" fontId="25" fillId="8" borderId="5" xfId="0" applyFont="1" applyFill="1" applyBorder="1" applyAlignment="1">
      <alignment horizontal="left" vertical="top"/>
    </xf>
    <xf numFmtId="0" fontId="50" fillId="8" borderId="10" xfId="0" applyFont="1" applyFill="1" applyBorder="1" applyAlignment="1">
      <alignment horizontal="center" vertical="center" wrapText="1"/>
    </xf>
    <xf numFmtId="0" fontId="63" fillId="8" borderId="10" xfId="0" applyFont="1" applyFill="1" applyBorder="1" applyAlignment="1">
      <alignment horizontal="center" vertical="center" wrapText="1"/>
    </xf>
    <xf numFmtId="2" fontId="63" fillId="8" borderId="10" xfId="0" applyNumberFormat="1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wrapText="1"/>
    </xf>
    <xf numFmtId="0" fontId="10" fillId="8" borderId="19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7" fillId="8" borderId="24" xfId="0" applyFont="1" applyFill="1" applyBorder="1" applyAlignment="1">
      <alignment horizontal="center" vertical="center" wrapText="1"/>
    </xf>
    <xf numFmtId="14" fontId="25" fillId="0" borderId="5" xfId="0" applyNumberFormat="1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43" fontId="50" fillId="0" borderId="5" xfId="1" applyFont="1" applyFill="1" applyBorder="1" applyAlignment="1">
      <alignment vertical="center"/>
    </xf>
    <xf numFmtId="14" fontId="25" fillId="0" borderId="5" xfId="1" applyNumberFormat="1" applyFont="1" applyFill="1" applyBorder="1" applyAlignment="1">
      <alignment vertical="center"/>
    </xf>
    <xf numFmtId="14" fontId="25" fillId="0" borderId="5" xfId="0" applyNumberFormat="1" applyFont="1" applyBorder="1" applyAlignment="1">
      <alignment horizontal="center" vertical="center"/>
    </xf>
    <xf numFmtId="43" fontId="25" fillId="0" borderId="5" xfId="1" applyFont="1" applyFill="1" applyBorder="1" applyAlignment="1">
      <alignment vertical="center" wrapText="1"/>
    </xf>
    <xf numFmtId="0" fontId="25" fillId="0" borderId="5" xfId="0" applyFont="1" applyBorder="1" applyAlignment="1">
      <alignment horizontal="center" vertical="center" wrapText="1"/>
    </xf>
    <xf numFmtId="43" fontId="16" fillId="5" borderId="5" xfId="1" applyFont="1" applyFill="1" applyBorder="1" applyAlignment="1">
      <alignment horizontal="center" vertical="center" wrapText="1" shrinkToFit="1"/>
    </xf>
    <xf numFmtId="0" fontId="5" fillId="8" borderId="0" xfId="0" applyFont="1" applyFill="1" applyAlignment="1">
      <alignment horizontal="center" vertical="center" wrapText="1"/>
    </xf>
    <xf numFmtId="0" fontId="2" fillId="8" borderId="10" xfId="0" applyFont="1" applyFill="1" applyBorder="1" applyAlignment="1">
      <alignment horizontal="left" vertical="top" wrapText="1"/>
    </xf>
    <xf numFmtId="0" fontId="5" fillId="8" borderId="10" xfId="0" applyFont="1" applyFill="1" applyBorder="1" applyAlignment="1">
      <alignment horizontal="center" vertical="center" wrapText="1"/>
    </xf>
    <xf numFmtId="43" fontId="5" fillId="8" borderId="10" xfId="1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wrapText="1"/>
    </xf>
    <xf numFmtId="0" fontId="10" fillId="8" borderId="22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43" fontId="10" fillId="8" borderId="10" xfId="1" applyFont="1" applyFill="1" applyBorder="1" applyAlignment="1">
      <alignment horizontal="center" wrapText="1"/>
    </xf>
    <xf numFmtId="2" fontId="10" fillId="8" borderId="5" xfId="0" applyNumberFormat="1" applyFont="1" applyFill="1" applyBorder="1" applyAlignment="1">
      <alignment horizontal="center" wrapText="1"/>
    </xf>
    <xf numFmtId="43" fontId="16" fillId="0" borderId="19" xfId="1" applyFont="1" applyFill="1" applyBorder="1" applyAlignment="1">
      <alignment horizontal="center" vertical="center" shrinkToFit="1"/>
    </xf>
    <xf numFmtId="43" fontId="2" fillId="0" borderId="19" xfId="1" applyFont="1" applyFill="1" applyBorder="1" applyAlignment="1">
      <alignment horizontal="left" vertical="top"/>
    </xf>
    <xf numFmtId="0" fontId="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43" fontId="16" fillId="0" borderId="0" xfId="1" applyFont="1" applyFill="1" applyBorder="1" applyAlignment="1">
      <alignment horizontal="center" vertical="center" wrapText="1"/>
    </xf>
    <xf numFmtId="0" fontId="49" fillId="8" borderId="5" xfId="0" applyFont="1" applyFill="1" applyBorder="1" applyAlignment="1">
      <alignment horizontal="left" vertical="top"/>
    </xf>
    <xf numFmtId="0" fontId="24" fillId="8" borderId="5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wrapText="1"/>
    </xf>
    <xf numFmtId="43" fontId="9" fillId="8" borderId="5" xfId="1" applyFont="1" applyFill="1" applyBorder="1" applyAlignment="1">
      <alignment horizontal="center" vertical="center" wrapText="1"/>
    </xf>
    <xf numFmtId="2" fontId="9" fillId="8" borderId="5" xfId="0" applyNumberFormat="1" applyFont="1" applyFill="1" applyBorder="1" applyAlignment="1">
      <alignment horizontal="center" wrapText="1"/>
    </xf>
    <xf numFmtId="43" fontId="0" fillId="0" borderId="5" xfId="1" applyFont="1" applyBorder="1" applyAlignment="1">
      <alignment wrapText="1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43" fontId="0" fillId="0" borderId="5" xfId="1" applyFont="1" applyFill="1" applyBorder="1" applyAlignment="1">
      <alignment horizontal="right"/>
    </xf>
    <xf numFmtId="43" fontId="7" fillId="0" borderId="5" xfId="1" applyFont="1" applyFill="1" applyBorder="1" applyAlignment="1">
      <alignment horizontal="left" vertical="center"/>
    </xf>
    <xf numFmtId="43" fontId="22" fillId="0" borderId="5" xfId="1" applyFont="1" applyFill="1" applyBorder="1"/>
    <xf numFmtId="0" fontId="7" fillId="0" borderId="5" xfId="0" applyFont="1" applyBorder="1" applyAlignment="1">
      <alignment horizontal="left" vertical="center"/>
    </xf>
    <xf numFmtId="0" fontId="2" fillId="0" borderId="5" xfId="0" applyFont="1" applyBorder="1"/>
    <xf numFmtId="164" fontId="7" fillId="0" borderId="5" xfId="0" applyNumberFormat="1" applyFont="1" applyBorder="1"/>
    <xf numFmtId="14" fontId="35" fillId="0" borderId="10" xfId="0" applyNumberFormat="1" applyFont="1" applyBorder="1" applyAlignment="1">
      <alignment wrapText="1"/>
    </xf>
    <xf numFmtId="43" fontId="24" fillId="0" borderId="0" xfId="0" applyNumberFormat="1" applyFont="1"/>
    <xf numFmtId="43" fontId="14" fillId="0" borderId="5" xfId="1" applyFont="1" applyFill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43" fontId="25" fillId="0" borderId="5" xfId="1" applyFont="1" applyFill="1" applyBorder="1" applyAlignment="1">
      <alignment vertical="center"/>
    </xf>
    <xf numFmtId="43" fontId="50" fillId="2" borderId="5" xfId="1" applyFont="1" applyFill="1" applyBorder="1" applyAlignment="1">
      <alignment vertical="center"/>
    </xf>
    <xf numFmtId="43" fontId="15" fillId="0" borderId="5" xfId="1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 textRotation="90" wrapText="1"/>
    </xf>
    <xf numFmtId="0" fontId="5" fillId="8" borderId="15" xfId="0" applyFont="1" applyFill="1" applyBorder="1" applyAlignment="1">
      <alignment horizontal="center" vertical="center" textRotation="90" wrapText="1"/>
    </xf>
    <xf numFmtId="43" fontId="14" fillId="0" borderId="10" xfId="1" applyFont="1" applyFill="1" applyBorder="1" applyAlignment="1">
      <alignment horizontal="center" vertical="center"/>
    </xf>
    <xf numFmtId="43" fontId="14" fillId="0" borderId="8" xfId="1" applyFont="1" applyFill="1" applyBorder="1" applyAlignment="1">
      <alignment horizontal="center" vertical="center"/>
    </xf>
    <xf numFmtId="43" fontId="14" fillId="0" borderId="9" xfId="1" applyFont="1" applyFill="1" applyBorder="1" applyAlignment="1">
      <alignment horizontal="center" vertical="center"/>
    </xf>
    <xf numFmtId="43" fontId="3" fillId="0" borderId="5" xfId="1" applyFont="1" applyFill="1" applyBorder="1" applyAlignment="1">
      <alignment horizontal="center" vertical="center" shrinkToFit="1"/>
    </xf>
    <xf numFmtId="43" fontId="40" fillId="0" borderId="5" xfId="1" applyFont="1" applyFill="1" applyBorder="1" applyAlignment="1">
      <alignment vertical="center" shrinkToFit="1"/>
    </xf>
    <xf numFmtId="14" fontId="25" fillId="0" borderId="5" xfId="0" applyNumberFormat="1" applyFont="1" applyBorder="1" applyAlignment="1">
      <alignment vertical="center"/>
    </xf>
    <xf numFmtId="2" fontId="25" fillId="0" borderId="5" xfId="0" applyNumberFormat="1" applyFont="1" applyBorder="1" applyAlignment="1">
      <alignment horizontal="center" vertical="center"/>
    </xf>
    <xf numFmtId="0" fontId="25" fillId="0" borderId="5" xfId="0" applyFont="1" applyBorder="1" applyAlignment="1">
      <alignment vertical="center"/>
    </xf>
    <xf numFmtId="43" fontId="25" fillId="0" borderId="5" xfId="1" applyFont="1" applyFill="1" applyBorder="1" applyAlignment="1">
      <alignment horizontal="center" vertical="center"/>
    </xf>
    <xf numFmtId="43" fontId="50" fillId="0" borderId="5" xfId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textRotation="90" wrapText="1"/>
    </xf>
    <xf numFmtId="43" fontId="50" fillId="0" borderId="5" xfId="1" applyFont="1" applyFill="1" applyBorder="1" applyAlignment="1">
      <alignment horizontal="center" vertical="center" wrapText="1"/>
    </xf>
    <xf numFmtId="43" fontId="63" fillId="0" borderId="5" xfId="1" applyFont="1" applyFill="1" applyBorder="1" applyAlignment="1">
      <alignment vertical="center" shrinkToFit="1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3" fontId="5" fillId="0" borderId="10" xfId="1" applyFont="1" applyFill="1" applyBorder="1" applyAlignment="1">
      <alignment horizontal="center" vertical="center"/>
    </xf>
    <xf numFmtId="43" fontId="5" fillId="0" borderId="9" xfId="1" applyFont="1" applyFill="1" applyBorder="1" applyAlignment="1">
      <alignment horizontal="center" vertical="center"/>
    </xf>
    <xf numFmtId="0" fontId="50" fillId="8" borderId="12" xfId="0" applyFont="1" applyFill="1" applyBorder="1" applyAlignment="1">
      <alignment horizontal="center" vertical="center" textRotation="90" wrapText="1"/>
    </xf>
    <xf numFmtId="0" fontId="50" fillId="8" borderId="15" xfId="0" applyFont="1" applyFill="1" applyBorder="1" applyAlignment="1">
      <alignment horizontal="center" vertical="center" textRotation="90" wrapText="1"/>
    </xf>
    <xf numFmtId="43" fontId="18" fillId="0" borderId="5" xfId="1" applyFont="1" applyFill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2" fontId="18" fillId="0" borderId="9" xfId="0" applyNumberFormat="1" applyFont="1" applyBorder="1" applyAlignment="1">
      <alignment horizontal="center" vertical="center"/>
    </xf>
    <xf numFmtId="0" fontId="5" fillId="0" borderId="22" xfId="1" applyNumberFormat="1" applyFont="1" applyFill="1" applyBorder="1" applyAlignment="1">
      <alignment horizontal="center" vertical="center"/>
    </xf>
    <xf numFmtId="0" fontId="5" fillId="0" borderId="23" xfId="1" applyNumberFormat="1" applyFont="1" applyFill="1" applyBorder="1" applyAlignment="1">
      <alignment horizontal="center" vertical="center"/>
    </xf>
    <xf numFmtId="43" fontId="18" fillId="0" borderId="10" xfId="1" applyFont="1" applyFill="1" applyBorder="1" applyAlignment="1">
      <alignment horizontal="center" vertical="center"/>
    </xf>
    <xf numFmtId="43" fontId="18" fillId="0" borderId="8" xfId="1" applyFont="1" applyFill="1" applyBorder="1" applyAlignment="1">
      <alignment horizontal="center" vertical="center"/>
    </xf>
    <xf numFmtId="43" fontId="18" fillId="0" borderId="9" xfId="1" applyFont="1" applyFill="1" applyBorder="1" applyAlignment="1">
      <alignment horizontal="center" vertical="center"/>
    </xf>
    <xf numFmtId="43" fontId="5" fillId="0" borderId="8" xfId="1" applyFont="1" applyFill="1" applyBorder="1" applyAlignment="1">
      <alignment horizontal="center" vertical="center"/>
    </xf>
    <xf numFmtId="14" fontId="5" fillId="0" borderId="5" xfId="1" applyNumberFormat="1" applyFont="1" applyFill="1" applyBorder="1" applyAlignment="1">
      <alignment horizontal="center" vertical="center"/>
    </xf>
    <xf numFmtId="43" fontId="5" fillId="0" borderId="5" xfId="1" applyFont="1" applyFill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 vertical="center" shrinkToFit="1"/>
    </xf>
    <xf numFmtId="43" fontId="16" fillId="0" borderId="5" xfId="1" applyFont="1" applyFill="1" applyBorder="1" applyAlignment="1">
      <alignment horizontal="center" vertical="center" shrinkToFit="1"/>
    </xf>
    <xf numFmtId="43" fontId="16" fillId="0" borderId="10" xfId="1" applyFont="1" applyFill="1" applyBorder="1" applyAlignment="1">
      <alignment horizontal="center" vertical="center" shrinkToFit="1"/>
    </xf>
    <xf numFmtId="43" fontId="16" fillId="0" borderId="9" xfId="1" applyFont="1" applyFill="1" applyBorder="1" applyAlignment="1">
      <alignment horizontal="center" vertical="center" shrinkToFit="1"/>
    </xf>
    <xf numFmtId="14" fontId="18" fillId="0" borderId="10" xfId="0" applyNumberFormat="1" applyFont="1" applyBorder="1" applyAlignment="1">
      <alignment horizontal="center" vertical="center"/>
    </xf>
    <xf numFmtId="14" fontId="18" fillId="0" borderId="9" xfId="0" applyNumberFormat="1" applyFont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32" fillId="8" borderId="5" xfId="0" applyFont="1" applyFill="1" applyBorder="1" applyAlignment="1">
      <alignment horizontal="center" vertical="center"/>
    </xf>
    <xf numFmtId="0" fontId="45" fillId="8" borderId="5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41" fillId="0" borderId="1" xfId="0" applyFont="1" applyBorder="1" applyAlignment="1">
      <alignment horizontal="center"/>
    </xf>
    <xf numFmtId="14" fontId="31" fillId="0" borderId="1" xfId="0" applyNumberFormat="1" applyFont="1" applyBorder="1" applyAlignment="1">
      <alignment horizontal="center"/>
    </xf>
    <xf numFmtId="14" fontId="31" fillId="0" borderId="2" xfId="0" applyNumberFormat="1" applyFont="1" applyBorder="1" applyAlignment="1">
      <alignment horizontal="center"/>
    </xf>
    <xf numFmtId="0" fontId="45" fillId="0" borderId="39" xfId="0" applyFont="1" applyBorder="1" applyAlignment="1">
      <alignment horizontal="center" vertical="center"/>
    </xf>
    <xf numFmtId="14" fontId="31" fillId="0" borderId="5" xfId="0" applyNumberFormat="1" applyFont="1" applyBorder="1" applyAlignment="1">
      <alignment horizontal="center"/>
    </xf>
    <xf numFmtId="43" fontId="5" fillId="10" borderId="10" xfId="1" applyFont="1" applyFill="1" applyBorder="1" applyAlignment="1">
      <alignment horizontal="center" vertical="center"/>
    </xf>
    <xf numFmtId="43" fontId="5" fillId="10" borderId="9" xfId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textRotation="90" wrapText="1"/>
    </xf>
    <xf numFmtId="43" fontId="5" fillId="10" borderId="5" xfId="1" applyFont="1" applyFill="1" applyBorder="1" applyAlignment="1">
      <alignment horizontal="center" vertical="center"/>
    </xf>
    <xf numFmtId="43" fontId="18" fillId="10" borderId="10" xfId="1" applyFont="1" applyFill="1" applyBorder="1" applyAlignment="1">
      <alignment horizontal="center" vertical="center"/>
    </xf>
    <xf numFmtId="43" fontId="18" fillId="10" borderId="8" xfId="1" applyFont="1" applyFill="1" applyBorder="1" applyAlignment="1">
      <alignment horizontal="center" vertical="center"/>
    </xf>
    <xf numFmtId="43" fontId="18" fillId="10" borderId="9" xfId="1" applyFont="1" applyFill="1" applyBorder="1" applyAlignment="1">
      <alignment horizontal="center" vertical="center"/>
    </xf>
    <xf numFmtId="43" fontId="5" fillId="10" borderId="8" xfId="1" applyFont="1" applyFill="1" applyBorder="1" applyAlignment="1">
      <alignment horizontal="center" vertical="center"/>
    </xf>
    <xf numFmtId="14" fontId="5" fillId="10" borderId="5" xfId="1" applyNumberFormat="1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43" fontId="16" fillId="5" borderId="5" xfId="1" applyFont="1" applyFill="1" applyBorder="1" applyAlignment="1">
      <alignment horizontal="center" vertical="center" shrinkToFit="1"/>
    </xf>
    <xf numFmtId="43" fontId="8" fillId="0" borderId="0" xfId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3" fontId="16" fillId="10" borderId="10" xfId="1" applyFont="1" applyFill="1" applyBorder="1" applyAlignment="1">
      <alignment horizontal="center" vertical="center" shrinkToFit="1"/>
    </xf>
    <xf numFmtId="43" fontId="16" fillId="10" borderId="9" xfId="1" applyFont="1" applyFill="1" applyBorder="1" applyAlignment="1">
      <alignment horizontal="center" vertical="center" shrinkToFit="1"/>
    </xf>
    <xf numFmtId="14" fontId="18" fillId="10" borderId="10" xfId="0" applyNumberFormat="1" applyFont="1" applyFill="1" applyBorder="1" applyAlignment="1">
      <alignment horizontal="center" vertical="center"/>
    </xf>
    <xf numFmtId="14" fontId="18" fillId="10" borderId="9" xfId="0" applyNumberFormat="1" applyFont="1" applyFill="1" applyBorder="1" applyAlignment="1">
      <alignment horizontal="center" vertical="center"/>
    </xf>
    <xf numFmtId="43" fontId="16" fillId="10" borderId="5" xfId="1" applyFont="1" applyFill="1" applyBorder="1" applyAlignment="1">
      <alignment horizontal="center" vertical="center" shrinkToFit="1"/>
    </xf>
    <xf numFmtId="43" fontId="18" fillId="10" borderId="5" xfId="1" applyFont="1" applyFill="1" applyBorder="1" applyAlignment="1">
      <alignment horizontal="center" vertical="center"/>
    </xf>
    <xf numFmtId="14" fontId="5" fillId="10" borderId="10" xfId="0" applyNumberFormat="1" applyFont="1" applyFill="1" applyBorder="1" applyAlignment="1">
      <alignment horizontal="center" vertical="center"/>
    </xf>
    <xf numFmtId="2" fontId="18" fillId="10" borderId="10" xfId="0" applyNumberFormat="1" applyFont="1" applyFill="1" applyBorder="1" applyAlignment="1">
      <alignment horizontal="center" vertical="center"/>
    </xf>
    <xf numFmtId="2" fontId="18" fillId="10" borderId="9" xfId="0" applyNumberFormat="1" applyFont="1" applyFill="1" applyBorder="1" applyAlignment="1">
      <alignment horizontal="center" vertical="center"/>
    </xf>
    <xf numFmtId="0" fontId="5" fillId="10" borderId="22" xfId="1" applyNumberFormat="1" applyFont="1" applyFill="1" applyBorder="1" applyAlignment="1">
      <alignment horizontal="center" vertical="center"/>
    </xf>
    <xf numFmtId="0" fontId="5" fillId="10" borderId="23" xfId="1" applyNumberFormat="1" applyFont="1" applyFill="1" applyBorder="1" applyAlignment="1">
      <alignment horizontal="center" vertical="center"/>
    </xf>
    <xf numFmtId="0" fontId="25" fillId="8" borderId="12" xfId="0" applyFont="1" applyFill="1" applyBorder="1" applyAlignment="1">
      <alignment horizontal="center" vertical="center" textRotation="90" wrapText="1"/>
    </xf>
    <xf numFmtId="0" fontId="25" fillId="8" borderId="15" xfId="0" applyFont="1" applyFill="1" applyBorder="1" applyAlignment="1">
      <alignment horizontal="center" vertical="center" textRotation="90" wrapText="1"/>
    </xf>
    <xf numFmtId="43" fontId="13" fillId="5" borderId="5" xfId="1" applyFont="1" applyFill="1" applyBorder="1" applyAlignment="1">
      <alignment vertical="center"/>
    </xf>
    <xf numFmtId="0" fontId="11" fillId="0" borderId="32" xfId="0" applyFont="1" applyBorder="1" applyAlignment="1">
      <alignment horizontal="left" vertical="top"/>
    </xf>
    <xf numFmtId="43" fontId="14" fillId="10" borderId="5" xfId="1" applyFont="1" applyFill="1" applyBorder="1" applyAlignment="1">
      <alignment vertical="center"/>
    </xf>
    <xf numFmtId="43" fontId="16" fillId="10" borderId="5" xfId="1" applyFont="1" applyFill="1" applyBorder="1" applyAlignment="1">
      <alignment vertical="center" shrinkToFit="1"/>
    </xf>
    <xf numFmtId="14" fontId="14" fillId="10" borderId="5" xfId="0" applyNumberFormat="1" applyFont="1" applyFill="1" applyBorder="1" applyAlignment="1">
      <alignment vertical="center"/>
    </xf>
    <xf numFmtId="43" fontId="3" fillId="10" borderId="5" xfId="1" applyFont="1" applyFill="1" applyBorder="1" applyAlignment="1">
      <alignment vertical="center" shrinkToFit="1"/>
    </xf>
    <xf numFmtId="14" fontId="0" fillId="10" borderId="5" xfId="0" applyNumberFormat="1" applyFill="1" applyBorder="1" applyAlignment="1">
      <alignment vertical="center"/>
    </xf>
    <xf numFmtId="0" fontId="2" fillId="10" borderId="5" xfId="0" applyFont="1" applyFill="1" applyBorder="1" applyAlignment="1">
      <alignment vertical="center"/>
    </xf>
    <xf numFmtId="0" fontId="0" fillId="10" borderId="5" xfId="0" applyFill="1" applyBorder="1" applyAlignment="1">
      <alignment vertical="center"/>
    </xf>
    <xf numFmtId="2" fontId="14" fillId="10" borderId="5" xfId="0" applyNumberFormat="1" applyFont="1" applyFill="1" applyBorder="1" applyAlignment="1">
      <alignment horizontal="center" vertical="center"/>
    </xf>
    <xf numFmtId="43" fontId="18" fillId="0" borderId="5" xfId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textRotation="90" wrapText="1"/>
    </xf>
    <xf numFmtId="43" fontId="5" fillId="3" borderId="5" xfId="1" applyFont="1" applyFill="1" applyBorder="1" applyAlignment="1">
      <alignment horizontal="center" vertical="center" wrapText="1"/>
    </xf>
    <xf numFmtId="43" fontId="14" fillId="5" borderId="5" xfId="1" applyFont="1" applyFill="1" applyBorder="1" applyAlignment="1">
      <alignment vertical="center"/>
    </xf>
    <xf numFmtId="43" fontId="3" fillId="0" borderId="10" xfId="1" applyFont="1" applyFill="1" applyBorder="1" applyAlignment="1">
      <alignment horizontal="center" vertical="center" shrinkToFit="1"/>
    </xf>
    <xf numFmtId="43" fontId="3" fillId="0" borderId="9" xfId="1" applyFont="1" applyFill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textRotation="90"/>
    </xf>
    <xf numFmtId="0" fontId="2" fillId="3" borderId="8" xfId="0" applyFont="1" applyFill="1" applyBorder="1" applyAlignment="1">
      <alignment horizontal="center" vertical="center" textRotation="90"/>
    </xf>
    <xf numFmtId="43" fontId="14" fillId="0" borderId="5" xfId="1" applyFont="1" applyBorder="1" applyAlignment="1">
      <alignment horizontal="center" vertical="center"/>
    </xf>
    <xf numFmtId="43" fontId="13" fillId="0" borderId="5" xfId="1" applyFont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/>
    </xf>
    <xf numFmtId="2" fontId="14" fillId="0" borderId="9" xfId="0" applyNumberFormat="1" applyFont="1" applyBorder="1" applyAlignment="1">
      <alignment horizontal="center" vertical="center"/>
    </xf>
    <xf numFmtId="164" fontId="23" fillId="0" borderId="26" xfId="0" applyNumberFormat="1" applyFont="1" applyBorder="1" applyAlignment="1">
      <alignment horizontal="center"/>
    </xf>
    <xf numFmtId="164" fontId="23" fillId="0" borderId="27" xfId="0" applyNumberFormat="1" applyFont="1" applyBorder="1" applyAlignment="1">
      <alignment horizontal="center"/>
    </xf>
    <xf numFmtId="164" fontId="23" fillId="0" borderId="28" xfId="0" applyNumberFormat="1" applyFont="1" applyBorder="1" applyAlignment="1">
      <alignment horizontal="center"/>
    </xf>
    <xf numFmtId="9" fontId="36" fillId="0" borderId="35" xfId="0" applyNumberFormat="1" applyFont="1" applyBorder="1" applyAlignment="1">
      <alignment horizontal="center"/>
    </xf>
    <xf numFmtId="0" fontId="36" fillId="0" borderId="35" xfId="0" applyFont="1" applyBorder="1" applyAlignment="1">
      <alignment horizontal="center"/>
    </xf>
    <xf numFmtId="0" fontId="43" fillId="0" borderId="0" xfId="0" applyFont="1" applyAlignment="1">
      <alignment horizontal="center" vertical="top"/>
    </xf>
    <xf numFmtId="0" fontId="11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43" fontId="2" fillId="0" borderId="10" xfId="1" applyFont="1" applyFill="1" applyBorder="1" applyAlignment="1">
      <alignment horizontal="center" vertical="center"/>
    </xf>
    <xf numFmtId="43" fontId="2" fillId="0" borderId="8" xfId="1" applyFont="1" applyFill="1" applyBorder="1" applyAlignment="1">
      <alignment horizontal="center" vertical="center"/>
    </xf>
    <xf numFmtId="43" fontId="2" fillId="0" borderId="9" xfId="1" applyFont="1" applyFill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 textRotation="90"/>
    </xf>
    <xf numFmtId="2" fontId="5" fillId="0" borderId="8" xfId="0" applyNumberFormat="1" applyFont="1" applyBorder="1" applyAlignment="1">
      <alignment horizontal="center" vertical="center" textRotation="90"/>
    </xf>
    <xf numFmtId="2" fontId="5" fillId="0" borderId="9" xfId="0" applyNumberFormat="1" applyFont="1" applyBorder="1" applyAlignment="1">
      <alignment horizontal="center" vertical="center" textRotation="90"/>
    </xf>
    <xf numFmtId="164" fontId="5" fillId="0" borderId="10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43" fontId="5" fillId="0" borderId="10" xfId="1" applyFont="1" applyBorder="1" applyAlignment="1">
      <alignment horizontal="center" vertical="center"/>
    </xf>
    <xf numFmtId="43" fontId="5" fillId="0" borderId="8" xfId="1" applyFont="1" applyBorder="1" applyAlignment="1">
      <alignment horizontal="center" vertical="center"/>
    </xf>
    <xf numFmtId="43" fontId="5" fillId="0" borderId="9" xfId="1" applyFont="1" applyBorder="1" applyAlignment="1">
      <alignment horizontal="center" vertical="center"/>
    </xf>
    <xf numFmtId="14" fontId="2" fillId="0" borderId="10" xfId="1" applyNumberFormat="1" applyFont="1" applyFill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43" fontId="2" fillId="0" borderId="5" xfId="1" applyFont="1" applyBorder="1" applyAlignment="1">
      <alignment horizontal="center" vertical="center"/>
    </xf>
    <xf numFmtId="43" fontId="5" fillId="0" borderId="5" xfId="1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10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0" fontId="10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0" fillId="0" borderId="5" xfId="1" applyNumberFormat="1" applyFont="1" applyFill="1" applyBorder="1" applyAlignment="1">
      <alignment horizontal="center" vertical="center" shrinkToFit="1"/>
    </xf>
    <xf numFmtId="164" fontId="10" fillId="0" borderId="5" xfId="0" applyNumberFormat="1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 wrapText="1"/>
    </xf>
    <xf numFmtId="43" fontId="10" fillId="0" borderId="5" xfId="1" applyFont="1" applyFill="1" applyBorder="1" applyAlignment="1">
      <alignment horizontal="center" vertical="center" shrinkToFit="1"/>
    </xf>
    <xf numFmtId="164" fontId="10" fillId="0" borderId="10" xfId="0" applyNumberFormat="1" applyFont="1" applyBorder="1" applyAlignment="1">
      <alignment horizontal="center" vertical="center"/>
    </xf>
    <xf numFmtId="164" fontId="39" fillId="0" borderId="10" xfId="0" applyNumberFormat="1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43" fontId="5" fillId="0" borderId="0" xfId="1" applyFont="1" applyFill="1" applyBorder="1" applyAlignment="1">
      <alignment horizontal="center" vertical="top"/>
    </xf>
    <xf numFmtId="43" fontId="9" fillId="0" borderId="10" xfId="1" applyFont="1" applyFill="1" applyBorder="1" applyAlignment="1">
      <alignment horizontal="center" vertical="center" wrapText="1" shrinkToFit="1"/>
    </xf>
    <xf numFmtId="43" fontId="9" fillId="0" borderId="8" xfId="1" applyFont="1" applyFill="1" applyBorder="1" applyAlignment="1">
      <alignment horizontal="center" vertical="center" wrapText="1" shrinkToFit="1"/>
    </xf>
    <xf numFmtId="43" fontId="9" fillId="0" borderId="9" xfId="1" applyFont="1" applyFill="1" applyBorder="1" applyAlignment="1">
      <alignment horizontal="center" vertical="center" wrapText="1" shrinkToFit="1"/>
    </xf>
    <xf numFmtId="0" fontId="57" fillId="0" borderId="10" xfId="0" applyFont="1" applyBorder="1" applyAlignment="1">
      <alignment horizontal="center" vertical="center" wrapText="1"/>
    </xf>
    <xf numFmtId="0" fontId="57" fillId="0" borderId="8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 wrapText="1"/>
    </xf>
    <xf numFmtId="0" fontId="9" fillId="0" borderId="10" xfId="1" applyNumberFormat="1" applyFont="1" applyFill="1" applyBorder="1" applyAlignment="1">
      <alignment horizontal="center" vertical="center" textRotation="90" shrinkToFit="1"/>
    </xf>
    <xf numFmtId="0" fontId="9" fillId="0" borderId="8" xfId="1" applyNumberFormat="1" applyFont="1" applyFill="1" applyBorder="1" applyAlignment="1">
      <alignment horizontal="center" vertical="center" textRotation="90" shrinkToFit="1"/>
    </xf>
    <xf numFmtId="0" fontId="9" fillId="0" borderId="9" xfId="1" applyNumberFormat="1" applyFont="1" applyFill="1" applyBorder="1" applyAlignment="1">
      <alignment horizontal="center" vertical="center" textRotation="90" shrinkToFit="1"/>
    </xf>
    <xf numFmtId="164" fontId="9" fillId="0" borderId="10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43" fontId="57" fillId="0" borderId="10" xfId="1" applyFont="1" applyFill="1" applyBorder="1" applyAlignment="1">
      <alignment horizontal="center" vertical="center" shrinkToFit="1"/>
    </xf>
    <xf numFmtId="43" fontId="57" fillId="0" borderId="9" xfId="1" applyFont="1" applyFill="1" applyBorder="1" applyAlignment="1">
      <alignment horizontal="center" vertical="center" shrinkToFit="1"/>
    </xf>
    <xf numFmtId="14" fontId="9" fillId="0" borderId="5" xfId="1" applyNumberFormat="1" applyFont="1" applyFill="1" applyBorder="1" applyAlignment="1">
      <alignment horizontal="center" vertical="center" shrinkToFit="1"/>
    </xf>
    <xf numFmtId="43" fontId="9" fillId="0" borderId="5" xfId="1" applyFont="1" applyFill="1" applyBorder="1" applyAlignment="1">
      <alignment horizontal="center" vertical="center" shrinkToFit="1"/>
    </xf>
    <xf numFmtId="43" fontId="9" fillId="0" borderId="5" xfId="1" applyFont="1" applyFill="1" applyBorder="1" applyAlignment="1">
      <alignment horizontal="center" vertical="center" wrapText="1" shrinkToFit="1"/>
    </xf>
    <xf numFmtId="43" fontId="10" fillId="0" borderId="5" xfId="1" applyFont="1" applyFill="1" applyBorder="1" applyAlignment="1">
      <alignment horizontal="center" vertical="center" wrapText="1" shrinkToFit="1"/>
    </xf>
    <xf numFmtId="43" fontId="39" fillId="0" borderId="5" xfId="1" applyFont="1" applyFill="1" applyBorder="1" applyAlignment="1">
      <alignment horizontal="center" vertical="center" shrinkToFit="1"/>
    </xf>
    <xf numFmtId="14" fontId="10" fillId="0" borderId="5" xfId="1" applyNumberFormat="1" applyFont="1" applyFill="1" applyBorder="1" applyAlignment="1">
      <alignment horizontal="center" vertical="center" shrinkToFit="1"/>
    </xf>
    <xf numFmtId="0" fontId="10" fillId="0" borderId="5" xfId="1" applyNumberFormat="1" applyFont="1" applyFill="1" applyBorder="1" applyAlignment="1">
      <alignment horizontal="center" vertical="center" textRotation="90" shrinkToFit="1"/>
    </xf>
    <xf numFmtId="43" fontId="42" fillId="0" borderId="5" xfId="1" applyFont="1" applyFill="1" applyBorder="1" applyAlignment="1">
      <alignment horizontal="center" vertical="center"/>
    </xf>
    <xf numFmtId="43" fontId="42" fillId="0" borderId="5" xfId="1" applyFont="1" applyFill="1" applyBorder="1" applyAlignment="1">
      <alignment horizontal="center" vertical="top"/>
    </xf>
    <xf numFmtId="43" fontId="0" fillId="0" borderId="5" xfId="1" applyFont="1" applyFill="1" applyBorder="1" applyAlignment="1">
      <alignment horizontal="center" vertical="top"/>
    </xf>
    <xf numFmtId="43" fontId="39" fillId="0" borderId="10" xfId="1" applyFont="1" applyFill="1" applyBorder="1" applyAlignment="1">
      <alignment horizontal="center" vertical="center"/>
    </xf>
    <xf numFmtId="43" fontId="39" fillId="0" borderId="9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wrapText="1"/>
    </xf>
    <xf numFmtId="0" fontId="3" fillId="0" borderId="34" xfId="0" applyFont="1" applyBorder="1" applyAlignment="1">
      <alignment horizontal="center" wrapText="1"/>
    </xf>
    <xf numFmtId="14" fontId="0" fillId="0" borderId="5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14" fontId="42" fillId="0" borderId="10" xfId="1" applyNumberFormat="1" applyFont="1" applyBorder="1" applyAlignment="1">
      <alignment horizontal="center" vertical="center" wrapText="1"/>
    </xf>
    <xf numFmtId="43" fontId="42" fillId="0" borderId="8" xfId="1" applyFont="1" applyBorder="1" applyAlignment="1">
      <alignment horizontal="center" vertical="center" wrapText="1"/>
    </xf>
    <xf numFmtId="43" fontId="42" fillId="0" borderId="9" xfId="1" applyFont="1" applyBorder="1" applyAlignment="1">
      <alignment horizontal="center" vertical="center" wrapText="1"/>
    </xf>
    <xf numFmtId="43" fontId="8" fillId="0" borderId="0" xfId="1" applyFont="1" applyAlignment="1">
      <alignment vertical="top"/>
    </xf>
    <xf numFmtId="43" fontId="42" fillId="0" borderId="10" xfId="1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 textRotation="90" wrapText="1"/>
    </xf>
    <xf numFmtId="0" fontId="30" fillId="0" borderId="15" xfId="0" applyFont="1" applyBorder="1" applyAlignment="1">
      <alignment horizontal="center" vertical="center" textRotation="90" wrapText="1"/>
    </xf>
    <xf numFmtId="43" fontId="49" fillId="0" borderId="12" xfId="1" applyFont="1" applyBorder="1" applyAlignment="1">
      <alignment horizontal="center" vertical="center"/>
    </xf>
    <xf numFmtId="43" fontId="49" fillId="0" borderId="15" xfId="1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164" fontId="53" fillId="0" borderId="10" xfId="1" applyNumberFormat="1" applyFont="1" applyBorder="1" applyAlignment="1">
      <alignment horizontal="center" vertical="center"/>
    </xf>
    <xf numFmtId="164" fontId="53" fillId="0" borderId="8" xfId="1" applyNumberFormat="1" applyFont="1" applyBorder="1" applyAlignment="1">
      <alignment horizontal="center" vertical="center"/>
    </xf>
    <xf numFmtId="164" fontId="53" fillId="0" borderId="9" xfId="1" applyNumberFormat="1" applyFont="1" applyBorder="1" applyAlignment="1">
      <alignment horizontal="center" vertical="center"/>
    </xf>
    <xf numFmtId="43" fontId="49" fillId="0" borderId="19" xfId="1" applyFont="1" applyBorder="1" applyAlignment="1">
      <alignment horizontal="center" vertical="center"/>
    </xf>
    <xf numFmtId="43" fontId="49" fillId="0" borderId="21" xfId="1" applyFont="1" applyBorder="1" applyAlignment="1">
      <alignment horizontal="center" vertical="center"/>
    </xf>
    <xf numFmtId="43" fontId="54" fillId="0" borderId="10" xfId="1" applyFont="1" applyFill="1" applyBorder="1" applyAlignment="1">
      <alignment horizontal="center" vertical="center"/>
    </xf>
    <xf numFmtId="43" fontId="54" fillId="0" borderId="8" xfId="1" applyFont="1" applyFill="1" applyBorder="1" applyAlignment="1">
      <alignment horizontal="center" vertical="center"/>
    </xf>
    <xf numFmtId="43" fontId="54" fillId="0" borderId="9" xfId="1" applyFont="1" applyFill="1" applyBorder="1" applyAlignment="1">
      <alignment horizontal="center" vertical="center"/>
    </xf>
    <xf numFmtId="2" fontId="54" fillId="0" borderId="10" xfId="0" applyNumberFormat="1" applyFont="1" applyBorder="1" applyAlignment="1">
      <alignment horizontal="center" vertical="center" textRotation="90"/>
    </xf>
    <xf numFmtId="2" fontId="54" fillId="0" borderId="8" xfId="0" applyNumberFormat="1" applyFont="1" applyBorder="1" applyAlignment="1">
      <alignment horizontal="center" vertical="center" textRotation="90"/>
    </xf>
    <xf numFmtId="2" fontId="54" fillId="0" borderId="9" xfId="0" applyNumberFormat="1" applyFont="1" applyBorder="1" applyAlignment="1">
      <alignment horizontal="center" vertical="center" textRotation="90"/>
    </xf>
    <xf numFmtId="164" fontId="53" fillId="0" borderId="12" xfId="1" applyNumberFormat="1" applyFont="1" applyBorder="1" applyAlignment="1">
      <alignment horizontal="center" vertical="center"/>
    </xf>
    <xf numFmtId="164" fontId="53" fillId="0" borderId="15" xfId="1" applyNumberFormat="1" applyFont="1" applyBorder="1" applyAlignment="1">
      <alignment horizontal="center" vertical="center"/>
    </xf>
    <xf numFmtId="164" fontId="53" fillId="0" borderId="34" xfId="1" applyNumberFormat="1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43" fontId="54" fillId="0" borderId="5" xfId="0" applyNumberFormat="1" applyFont="1" applyBorder="1" applyAlignment="1">
      <alignment horizontal="center" vertical="center"/>
    </xf>
    <xf numFmtId="0" fontId="54" fillId="0" borderId="5" xfId="0" applyFont="1" applyBorder="1" applyAlignment="1">
      <alignment horizontal="center" vertical="center"/>
    </xf>
    <xf numFmtId="43" fontId="49" fillId="0" borderId="5" xfId="1" applyFont="1" applyFill="1" applyBorder="1" applyAlignment="1">
      <alignment horizontal="center" vertical="center"/>
    </xf>
    <xf numFmtId="43" fontId="54" fillId="0" borderId="19" xfId="1" applyFont="1" applyFill="1" applyBorder="1" applyAlignment="1">
      <alignment horizontal="center" vertical="center"/>
    </xf>
    <xf numFmtId="43" fontId="54" fillId="0" borderId="21" xfId="1" applyFont="1" applyFill="1" applyBorder="1" applyAlignment="1">
      <alignment horizontal="center" vertical="center"/>
    </xf>
    <xf numFmtId="0" fontId="49" fillId="0" borderId="19" xfId="0" applyFont="1" applyBorder="1" applyAlignment="1">
      <alignment horizontal="center" wrapText="1"/>
    </xf>
    <xf numFmtId="0" fontId="49" fillId="0" borderId="21" xfId="0" applyFont="1" applyBorder="1" applyAlignment="1">
      <alignment horizontal="center" wrapText="1"/>
    </xf>
    <xf numFmtId="43" fontId="8" fillId="0" borderId="0" xfId="1" applyFont="1" applyAlignment="1">
      <alignment horizontal="center"/>
    </xf>
    <xf numFmtId="0" fontId="61" fillId="0" borderId="5" xfId="0" applyFont="1" applyBorder="1" applyAlignment="1">
      <alignment horizontal="center" wrapText="1"/>
    </xf>
    <xf numFmtId="43" fontId="54" fillId="0" borderId="5" xfId="1" applyFont="1" applyFill="1" applyBorder="1" applyAlignment="1">
      <alignment horizontal="center" vertical="center"/>
    </xf>
    <xf numFmtId="43" fontId="54" fillId="0" borderId="19" xfId="1" applyFont="1" applyBorder="1" applyAlignment="1">
      <alignment horizontal="center" vertical="center" wrapText="1"/>
    </xf>
    <xf numFmtId="43" fontId="54" fillId="0" borderId="33" xfId="1" applyFont="1" applyBorder="1" applyAlignment="1">
      <alignment horizontal="center" vertical="center" wrapText="1"/>
    </xf>
    <xf numFmtId="43" fontId="54" fillId="0" borderId="21" xfId="1" applyFont="1" applyBorder="1" applyAlignment="1">
      <alignment horizontal="center" vertical="center" wrapText="1"/>
    </xf>
    <xf numFmtId="164" fontId="0" fillId="0" borderId="10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textRotation="90"/>
    </xf>
    <xf numFmtId="43" fontId="2" fillId="0" borderId="10" xfId="1" applyFont="1" applyBorder="1" applyAlignment="1">
      <alignment horizontal="center" vertical="center"/>
    </xf>
    <xf numFmtId="43" fontId="2" fillId="0" borderId="8" xfId="1" applyFont="1" applyBorder="1" applyAlignment="1">
      <alignment horizontal="center" vertical="center"/>
    </xf>
    <xf numFmtId="43" fontId="2" fillId="0" borderId="9" xfId="1" applyFont="1" applyBorder="1" applyAlignment="1">
      <alignment horizontal="center" vertical="center"/>
    </xf>
    <xf numFmtId="14" fontId="2" fillId="0" borderId="10" xfId="1" applyNumberFormat="1" applyFont="1" applyBorder="1" applyAlignment="1">
      <alignment horizontal="center" vertical="center"/>
    </xf>
    <xf numFmtId="14" fontId="2" fillId="0" borderId="8" xfId="1" applyNumberFormat="1" applyFont="1" applyBorder="1" applyAlignment="1">
      <alignment horizontal="center" vertical="center"/>
    </xf>
    <xf numFmtId="14" fontId="2" fillId="0" borderId="9" xfId="1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43" fontId="10" fillId="0" borderId="0" xfId="1" applyFont="1" applyFill="1" applyBorder="1" applyAlignment="1">
      <alignment horizontal="center" vertical="center" shrinkToFit="1"/>
    </xf>
    <xf numFmtId="0" fontId="10" fillId="0" borderId="0" xfId="1" applyNumberFormat="1" applyFont="1" applyFill="1" applyBorder="1" applyAlignment="1">
      <alignment horizontal="center" vertical="center" shrinkToFit="1"/>
    </xf>
    <xf numFmtId="43" fontId="10" fillId="0" borderId="10" xfId="1" applyFont="1" applyFill="1" applyBorder="1" applyAlignment="1">
      <alignment horizontal="center" vertical="center" shrinkToFit="1"/>
    </xf>
    <xf numFmtId="43" fontId="10" fillId="0" borderId="9" xfId="1" applyFont="1" applyFill="1" applyBorder="1" applyAlignment="1">
      <alignment horizontal="center" vertical="center" shrinkToFit="1"/>
    </xf>
    <xf numFmtId="43" fontId="54" fillId="0" borderId="10" xfId="1" applyFont="1" applyBorder="1" applyAlignment="1">
      <alignment horizontal="center" vertical="center"/>
    </xf>
    <xf numFmtId="43" fontId="54" fillId="0" borderId="8" xfId="1" applyFont="1" applyBorder="1" applyAlignment="1">
      <alignment horizontal="center" vertical="center"/>
    </xf>
    <xf numFmtId="43" fontId="54" fillId="0" borderId="9" xfId="1" applyFont="1" applyBorder="1" applyAlignment="1">
      <alignment horizontal="center" vertical="center"/>
    </xf>
    <xf numFmtId="43" fontId="29" fillId="0" borderId="10" xfId="1" applyFont="1" applyBorder="1" applyAlignment="1">
      <alignment horizontal="center" vertical="center"/>
    </xf>
    <xf numFmtId="43" fontId="29" fillId="0" borderId="8" xfId="1" applyFont="1" applyBorder="1" applyAlignment="1">
      <alignment horizontal="center" vertical="center"/>
    </xf>
    <xf numFmtId="43" fontId="29" fillId="0" borderId="9" xfId="1" applyFont="1" applyBorder="1" applyAlignment="1">
      <alignment horizontal="center" vertical="center"/>
    </xf>
    <xf numFmtId="0" fontId="49" fillId="0" borderId="0" xfId="0" applyFont="1" applyAlignment="1">
      <alignment horizontal="center" vertical="top"/>
    </xf>
    <xf numFmtId="0" fontId="24" fillId="8" borderId="10" xfId="0" applyFont="1" applyFill="1" applyBorder="1" applyAlignment="1">
      <alignment horizontal="center" vertical="center" textRotation="90" wrapText="1"/>
    </xf>
    <xf numFmtId="0" fontId="24" fillId="8" borderId="8" xfId="0" applyFont="1" applyFill="1" applyBorder="1" applyAlignment="1">
      <alignment horizontal="center" vertical="center" textRotation="90" wrapText="1"/>
    </xf>
    <xf numFmtId="0" fontId="24" fillId="8" borderId="9" xfId="0" applyFont="1" applyFill="1" applyBorder="1" applyAlignment="1">
      <alignment horizontal="center" vertical="center" textRotation="90" wrapText="1"/>
    </xf>
    <xf numFmtId="43" fontId="53" fillId="0" borderId="10" xfId="1" applyFont="1" applyBorder="1" applyAlignment="1">
      <alignment horizontal="center" vertical="center"/>
    </xf>
    <xf numFmtId="43" fontId="53" fillId="0" borderId="8" xfId="1" applyFont="1" applyBorder="1" applyAlignment="1">
      <alignment horizontal="center" vertical="center"/>
    </xf>
    <xf numFmtId="43" fontId="53" fillId="0" borderId="9" xfId="1" applyFont="1" applyBorder="1" applyAlignment="1">
      <alignment horizontal="center" vertical="center"/>
    </xf>
    <xf numFmtId="2" fontId="53" fillId="0" borderId="10" xfId="0" applyNumberFormat="1" applyFont="1" applyBorder="1" applyAlignment="1">
      <alignment horizontal="center" vertical="center"/>
    </xf>
    <xf numFmtId="2" fontId="53" fillId="0" borderId="8" xfId="0" applyNumberFormat="1" applyFont="1" applyBorder="1" applyAlignment="1">
      <alignment horizontal="center" vertical="center"/>
    </xf>
    <xf numFmtId="2" fontId="53" fillId="0" borderId="9" xfId="0" applyNumberFormat="1" applyFont="1" applyBorder="1" applyAlignment="1">
      <alignment horizontal="center" vertical="center"/>
    </xf>
    <xf numFmtId="43" fontId="53" fillId="0" borderId="5" xfId="1" applyFont="1" applyBorder="1" applyAlignment="1">
      <alignment horizontal="center" vertical="center"/>
    </xf>
    <xf numFmtId="43" fontId="49" fillId="0" borderId="5" xfId="1" applyFont="1" applyBorder="1" applyAlignment="1">
      <alignment horizontal="center" vertical="center"/>
    </xf>
    <xf numFmtId="43" fontId="49" fillId="0" borderId="5" xfId="1" applyFont="1" applyBorder="1" applyAlignment="1">
      <alignment vertical="center"/>
    </xf>
    <xf numFmtId="14" fontId="49" fillId="0" borderId="5" xfId="1" applyNumberFormat="1" applyFont="1" applyBorder="1" applyAlignment="1">
      <alignment horizontal="center" vertical="center"/>
    </xf>
    <xf numFmtId="43" fontId="49" fillId="0" borderId="5" xfId="0" applyNumberFormat="1" applyFont="1" applyBorder="1" applyAlignment="1">
      <alignment horizontal="center" vertical="center" wrapText="1"/>
    </xf>
    <xf numFmtId="43" fontId="9" fillId="0" borderId="0" xfId="1" applyFont="1" applyAlignment="1">
      <alignment horizontal="center" vertical="center"/>
    </xf>
    <xf numFmtId="0" fontId="51" fillId="0" borderId="0" xfId="0" applyFont="1" applyAlignment="1">
      <alignment horizontal="left" vertical="center"/>
    </xf>
    <xf numFmtId="43" fontId="53" fillId="0" borderId="5" xfId="1" applyFont="1" applyBorder="1" applyAlignment="1">
      <alignment horizontal="center" vertical="center" wrapText="1"/>
    </xf>
    <xf numFmtId="43" fontId="53" fillId="0" borderId="5" xfId="1" applyFont="1" applyBorder="1" applyAlignment="1">
      <alignment vertical="center"/>
    </xf>
    <xf numFmtId="0" fontId="49" fillId="0" borderId="5" xfId="1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textRotation="90" wrapText="1"/>
    </xf>
    <xf numFmtId="0" fontId="5" fillId="0" borderId="9" xfId="0" applyFont="1" applyBorder="1" applyAlignment="1">
      <alignment horizontal="center" vertical="center" textRotation="90" wrapText="1"/>
    </xf>
    <xf numFmtId="0" fontId="30" fillId="4" borderId="12" xfId="0" applyFont="1" applyFill="1" applyBorder="1" applyAlignment="1">
      <alignment horizontal="center" vertical="center" wrapText="1"/>
    </xf>
    <xf numFmtId="0" fontId="30" fillId="4" borderId="15" xfId="0" applyFont="1" applyFill="1" applyBorder="1" applyAlignment="1">
      <alignment horizontal="center" vertical="center" wrapText="1"/>
    </xf>
    <xf numFmtId="43" fontId="2" fillId="0" borderId="10" xfId="1" applyFont="1" applyBorder="1" applyAlignment="1">
      <alignment horizontal="center" vertical="center" wrapText="1"/>
    </xf>
    <xf numFmtId="43" fontId="2" fillId="0" borderId="8" xfId="1" applyFont="1" applyBorder="1" applyAlignment="1">
      <alignment horizontal="center" vertical="center" wrapText="1"/>
    </xf>
    <xf numFmtId="43" fontId="2" fillId="0" borderId="9" xfId="1" applyFont="1" applyBorder="1" applyAlignment="1">
      <alignment horizontal="center" vertical="center" wrapText="1"/>
    </xf>
    <xf numFmtId="14" fontId="2" fillId="0" borderId="10" xfId="1" applyNumberFormat="1" applyFont="1" applyBorder="1" applyAlignment="1">
      <alignment horizontal="center" vertical="center" wrapText="1"/>
    </xf>
    <xf numFmtId="14" fontId="2" fillId="0" borderId="8" xfId="1" applyNumberFormat="1" applyFont="1" applyBorder="1" applyAlignment="1">
      <alignment horizontal="center" vertical="center" wrapText="1"/>
    </xf>
    <xf numFmtId="14" fontId="2" fillId="0" borderId="9" xfId="1" applyNumberFormat="1" applyFont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/>
    </xf>
    <xf numFmtId="0" fontId="9" fillId="4" borderId="34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51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9" fillId="0" borderId="2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3" fontId="5" fillId="0" borderId="5" xfId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textRotation="90"/>
    </xf>
    <xf numFmtId="43" fontId="2" fillId="0" borderId="5" xfId="1" applyFont="1" applyBorder="1" applyAlignment="1">
      <alignment horizontal="center" vertical="center" wrapText="1"/>
    </xf>
    <xf numFmtId="14" fontId="5" fillId="0" borderId="5" xfId="1" applyNumberFormat="1" applyFont="1" applyBorder="1" applyAlignment="1">
      <alignment horizontal="center" vertical="center" wrapText="1"/>
    </xf>
    <xf numFmtId="43" fontId="50" fillId="0" borderId="10" xfId="1" applyFont="1" applyFill="1" applyBorder="1" applyAlignment="1">
      <alignment horizontal="center" vertical="center"/>
    </xf>
    <xf numFmtId="43" fontId="50" fillId="0" borderId="8" xfId="1" applyFont="1" applyFill="1" applyBorder="1" applyAlignment="1">
      <alignment horizontal="center" vertical="center"/>
    </xf>
    <xf numFmtId="43" fontId="50" fillId="0" borderId="9" xfId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textRotation="90" wrapText="1"/>
    </xf>
    <xf numFmtId="14" fontId="14" fillId="0" borderId="5" xfId="1" applyNumberFormat="1" applyFont="1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2" fontId="2" fillId="0" borderId="5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textRotation="90"/>
    </xf>
    <xf numFmtId="0" fontId="10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5" fillId="0" borderId="12" xfId="0" applyFont="1" applyBorder="1" applyAlignment="1">
      <alignment horizontal="center" vertical="center" textRotation="90"/>
    </xf>
    <xf numFmtId="0" fontId="5" fillId="0" borderId="15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 textRotation="90" wrapText="1"/>
    </xf>
    <xf numFmtId="0" fontId="4" fillId="0" borderId="8" xfId="0" applyFont="1" applyBorder="1" applyAlignment="1">
      <alignment horizontal="center" vertical="center" textRotation="90" wrapText="1"/>
    </xf>
    <xf numFmtId="0" fontId="4" fillId="0" borderId="9" xfId="0" applyFont="1" applyBorder="1" applyAlignment="1">
      <alignment horizontal="center" vertical="center" textRotation="90" wrapText="1"/>
    </xf>
    <xf numFmtId="2" fontId="0" fillId="0" borderId="5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43" fontId="0" fillId="0" borderId="22" xfId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43" fontId="0" fillId="0" borderId="24" xfId="1" applyFont="1" applyBorder="1" applyAlignment="1">
      <alignment horizontal="center" vertical="center"/>
    </xf>
    <xf numFmtId="43" fontId="0" fillId="0" borderId="15" xfId="1" applyFont="1" applyBorder="1" applyAlignment="1">
      <alignment horizontal="center" vertical="center"/>
    </xf>
    <xf numFmtId="43" fontId="0" fillId="0" borderId="23" xfId="1" applyFont="1" applyBorder="1" applyAlignment="1">
      <alignment horizontal="center" vertical="center"/>
    </xf>
    <xf numFmtId="43" fontId="0" fillId="0" borderId="34" xfId="1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2" fontId="55" fillId="0" borderId="10" xfId="0" applyNumberFormat="1" applyFont="1" applyBorder="1" applyAlignment="1">
      <alignment horizontal="center" vertical="center"/>
    </xf>
    <xf numFmtId="2" fontId="55" fillId="0" borderId="9" xfId="0" applyNumberFormat="1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textRotation="90"/>
    </xf>
    <xf numFmtId="43" fontId="55" fillId="0" borderId="10" xfId="1" applyFont="1" applyBorder="1" applyAlignment="1">
      <alignment horizontal="center" vertical="center"/>
    </xf>
    <xf numFmtId="43" fontId="55" fillId="0" borderId="9" xfId="1" applyFont="1" applyBorder="1" applyAlignment="1">
      <alignment horizontal="center" vertical="center"/>
    </xf>
    <xf numFmtId="43" fontId="55" fillId="0" borderId="10" xfId="1" applyFont="1" applyFill="1" applyBorder="1" applyAlignment="1">
      <alignment horizontal="center" vertical="center"/>
    </xf>
    <xf numFmtId="43" fontId="55" fillId="0" borderId="9" xfId="1" applyFont="1" applyFill="1" applyBorder="1" applyAlignment="1">
      <alignment horizontal="center" vertical="center"/>
    </xf>
    <xf numFmtId="14" fontId="55" fillId="0" borderId="10" xfId="0" applyNumberFormat="1" applyFont="1" applyBorder="1" applyAlignment="1">
      <alignment horizontal="center" vertical="center"/>
    </xf>
    <xf numFmtId="14" fontId="55" fillId="0" borderId="9" xfId="0" applyNumberFormat="1" applyFont="1" applyBorder="1" applyAlignment="1">
      <alignment horizontal="center" vertical="center"/>
    </xf>
    <xf numFmtId="43" fontId="56" fillId="0" borderId="10" xfId="1" applyFont="1" applyFill="1" applyBorder="1" applyAlignment="1">
      <alignment horizontal="center" vertical="center" shrinkToFit="1"/>
    </xf>
    <xf numFmtId="43" fontId="56" fillId="0" borderId="9" xfId="1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2" fontId="48" fillId="0" borderId="6" xfId="0" applyNumberFormat="1" applyFont="1" applyBorder="1" applyAlignment="1">
      <alignment horizontal="center" vertical="center"/>
    </xf>
    <xf numFmtId="2" fontId="48" fillId="0" borderId="29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/>
    </xf>
    <xf numFmtId="0" fontId="48" fillId="0" borderId="18" xfId="0" applyFont="1" applyBorder="1" applyAlignment="1">
      <alignment horizontal="center" vertical="center"/>
    </xf>
    <xf numFmtId="0" fontId="48" fillId="0" borderId="6" xfId="0" applyFont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center" vertical="center" wrapText="1"/>
    </xf>
    <xf numFmtId="43" fontId="5" fillId="0" borderId="10" xfId="1" applyFont="1" applyBorder="1" applyAlignment="1">
      <alignment horizontal="center" vertical="center" textRotation="90"/>
    </xf>
    <xf numFmtId="43" fontId="5" fillId="0" borderId="8" xfId="1" applyFont="1" applyBorder="1" applyAlignment="1">
      <alignment horizontal="center" vertical="center" textRotation="90"/>
    </xf>
    <xf numFmtId="43" fontId="5" fillId="0" borderId="9" xfId="1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3" fontId="6" fillId="0" borderId="5" xfId="1" applyFont="1" applyBorder="1" applyAlignment="1">
      <alignment horizontal="center" vertical="center" wrapText="1"/>
    </xf>
    <xf numFmtId="0" fontId="39" fillId="4" borderId="10" xfId="0" applyFont="1" applyFill="1" applyBorder="1" applyAlignment="1">
      <alignment horizontal="center" vertical="center" wrapText="1"/>
    </xf>
    <xf numFmtId="43" fontId="39" fillId="4" borderId="10" xfId="1" applyFont="1" applyFill="1" applyBorder="1" applyAlignment="1">
      <alignment horizontal="center" vertical="center" wrapText="1"/>
    </xf>
    <xf numFmtId="43" fontId="39" fillId="4" borderId="5" xfId="1" applyFont="1" applyFill="1" applyBorder="1" applyAlignment="1">
      <alignment horizontal="center" vertical="center" wrapText="1"/>
    </xf>
    <xf numFmtId="10" fontId="39" fillId="4" borderId="10" xfId="1" applyNumberFormat="1" applyFont="1" applyFill="1" applyBorder="1" applyAlignment="1">
      <alignment horizontal="center" vertical="center" wrapText="1"/>
    </xf>
    <xf numFmtId="0" fontId="39" fillId="4" borderId="5" xfId="0" applyFont="1" applyFill="1" applyBorder="1" applyAlignment="1">
      <alignment horizontal="center" vertical="center" wrapText="1"/>
    </xf>
    <xf numFmtId="0" fontId="39" fillId="4" borderId="9" xfId="0" applyFont="1" applyFill="1" applyBorder="1" applyAlignment="1">
      <alignment horizontal="center" vertical="center" wrapText="1"/>
    </xf>
    <xf numFmtId="43" fontId="39" fillId="4" borderId="9" xfId="1" applyFont="1" applyFill="1" applyBorder="1" applyAlignment="1">
      <alignment horizontal="center" vertical="center" wrapText="1"/>
    </xf>
    <xf numFmtId="10" fontId="39" fillId="4" borderId="9" xfId="1" applyNumberFormat="1" applyFont="1" applyFill="1" applyBorder="1" applyAlignment="1">
      <alignment horizontal="center" vertical="center" wrapText="1"/>
    </xf>
    <xf numFmtId="0" fontId="66" fillId="5" borderId="5" xfId="0" applyFont="1" applyFill="1" applyBorder="1" applyAlignment="1">
      <alignment horizontal="center" vertical="center" wrapText="1"/>
    </xf>
    <xf numFmtId="164" fontId="66" fillId="0" borderId="5" xfId="0" applyNumberFormat="1" applyFont="1" applyBorder="1" applyAlignment="1">
      <alignment horizontal="center" vertical="center" wrapText="1"/>
    </xf>
    <xf numFmtId="43" fontId="66" fillId="0" borderId="5" xfId="1" applyFont="1" applyBorder="1" applyAlignment="1">
      <alignment horizontal="center" vertical="center" wrapText="1"/>
    </xf>
    <xf numFmtId="10" fontId="66" fillId="0" borderId="5" xfId="1" applyNumberFormat="1" applyFont="1" applyBorder="1" applyAlignment="1">
      <alignment horizontal="center" vertical="center" wrapText="1"/>
    </xf>
    <xf numFmtId="43" fontId="67" fillId="0" borderId="0" xfId="1" applyFont="1" applyAlignment="1">
      <alignment horizontal="center" vertical="center"/>
    </xf>
    <xf numFmtId="0" fontId="66" fillId="0" borderId="5" xfId="0" applyFont="1" applyBorder="1" applyAlignment="1">
      <alignment horizontal="center" vertical="center" wrapText="1"/>
    </xf>
    <xf numFmtId="0" fontId="67" fillId="0" borderId="5" xfId="0" applyFont="1" applyBorder="1" applyAlignment="1">
      <alignment horizontal="center" vertical="center" wrapText="1"/>
    </xf>
    <xf numFmtId="0" fontId="67" fillId="0" borderId="10" xfId="0" applyFont="1" applyBorder="1" applyAlignment="1">
      <alignment horizontal="center" vertical="center" wrapText="1"/>
    </xf>
    <xf numFmtId="0" fontId="6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top"/>
    </xf>
    <xf numFmtId="0" fontId="42" fillId="0" borderId="0" xfId="0" applyFont="1" applyAlignment="1">
      <alignment horizontal="center" vertical="top" wrapText="1"/>
    </xf>
    <xf numFmtId="43" fontId="42" fillId="0" borderId="0" xfId="1" applyFont="1" applyAlignment="1">
      <alignment horizontal="center" vertical="center"/>
    </xf>
    <xf numFmtId="10" fontId="42" fillId="0" borderId="0" xfId="1" applyNumberFormat="1" applyFont="1" applyAlignment="1">
      <alignment horizontal="center" vertical="top"/>
    </xf>
  </cellXfs>
  <cellStyles count="3">
    <cellStyle name="Milliers" xfId="1" builtinId="3"/>
    <cellStyle name="Milliers 2" xfId="2" xr:uid="{00000000-0005-0000-0000-000001000000}"/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33CC"/>
      <color rgb="FFFF8989"/>
      <color rgb="FFFFCCFF"/>
      <color rgb="FF002060"/>
      <color rgb="FFC4BD97"/>
      <color rgb="FF99CCFF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9D09-1725-4903-AAA6-985BB25376B7}">
  <dimension ref="A3:N32"/>
  <sheetViews>
    <sheetView zoomScale="60" zoomScaleNormal="60" workbookViewId="0">
      <selection activeCell="A4" sqref="A4:F4"/>
    </sheetView>
  </sheetViews>
  <sheetFormatPr baseColWidth="10" defaultRowHeight="13" x14ac:dyDescent="0.3"/>
  <cols>
    <col min="1" max="1" width="15.296875" customWidth="1"/>
    <col min="2" max="2" width="18.19921875" customWidth="1"/>
    <col min="3" max="3" width="16" customWidth="1"/>
    <col min="4" max="4" width="21.19921875" customWidth="1"/>
    <col min="5" max="5" width="15.69921875" customWidth="1"/>
    <col min="6" max="6" width="19.19921875" customWidth="1"/>
    <col min="7" max="7" width="14.69921875" customWidth="1"/>
    <col min="8" max="8" width="17.69921875" customWidth="1"/>
    <col min="9" max="9" width="19" customWidth="1"/>
    <col min="10" max="10" width="15.59765625" customWidth="1"/>
    <col min="11" max="11" width="14" customWidth="1"/>
    <col min="12" max="12" width="15.3984375" customWidth="1"/>
    <col min="13" max="13" width="17.69921875" customWidth="1"/>
    <col min="14" max="14" width="14.796875" customWidth="1"/>
  </cols>
  <sheetData>
    <row r="3" spans="1:14" ht="13.5" thickBot="1" x14ac:dyDescent="0.35"/>
    <row r="4" spans="1:14" ht="28.5" customHeight="1" x14ac:dyDescent="0.3">
      <c r="A4" s="399" t="s">
        <v>2</v>
      </c>
      <c r="B4" s="399" t="s">
        <v>3</v>
      </c>
      <c r="C4" s="400" t="s">
        <v>0</v>
      </c>
      <c r="D4" s="400" t="s">
        <v>276</v>
      </c>
      <c r="E4" s="400" t="s">
        <v>377</v>
      </c>
      <c r="F4" s="400" t="s">
        <v>142</v>
      </c>
      <c r="G4" s="2"/>
    </row>
    <row r="7" spans="1:14" ht="35" customHeight="1" x14ac:dyDescent="0.3">
      <c r="A7" s="421"/>
      <c r="B7" s="414" t="s">
        <v>43</v>
      </c>
      <c r="C7" s="414" t="s">
        <v>23</v>
      </c>
      <c r="D7" s="414" t="s">
        <v>28</v>
      </c>
      <c r="E7" s="414" t="s">
        <v>271</v>
      </c>
      <c r="F7" s="415" t="s">
        <v>26</v>
      </c>
      <c r="G7" s="415" t="s">
        <v>40</v>
      </c>
      <c r="H7" s="415" t="s">
        <v>51</v>
      </c>
      <c r="I7" s="416" t="s">
        <v>42</v>
      </c>
      <c r="J7" s="415" t="s">
        <v>44</v>
      </c>
      <c r="K7" s="415" t="s">
        <v>27</v>
      </c>
      <c r="L7" s="417" t="s">
        <v>39</v>
      </c>
      <c r="M7" s="418" t="s">
        <v>16</v>
      </c>
      <c r="N7" s="418" t="s">
        <v>275</v>
      </c>
    </row>
    <row r="8" spans="1:14" ht="20" customHeight="1" x14ac:dyDescent="0.3">
      <c r="A8" s="495" t="s">
        <v>266</v>
      </c>
      <c r="B8" s="516">
        <v>9505999</v>
      </c>
      <c r="C8" s="301" t="s">
        <v>24</v>
      </c>
      <c r="D8" s="401">
        <v>2046113.83</v>
      </c>
      <c r="E8" s="517">
        <f>D8+D9+D11+D14</f>
        <v>8688190.8599999994</v>
      </c>
      <c r="F8" s="402" t="s">
        <v>184</v>
      </c>
      <c r="G8" s="157">
        <v>2046113.83</v>
      </c>
      <c r="H8" s="157">
        <v>2046113.83</v>
      </c>
      <c r="I8" s="252">
        <v>0</v>
      </c>
      <c r="J8" s="403">
        <v>45224</v>
      </c>
      <c r="K8" s="404" t="s">
        <v>38</v>
      </c>
      <c r="L8" s="405" t="s">
        <v>185</v>
      </c>
      <c r="M8" s="504">
        <f>H8+H11+H14+H9</f>
        <v>8687480.5700000003</v>
      </c>
      <c r="N8" s="492">
        <f>E8-M8</f>
        <v>710.28999999910593</v>
      </c>
    </row>
    <row r="9" spans="1:14" ht="20" customHeight="1" x14ac:dyDescent="0.3">
      <c r="A9" s="495"/>
      <c r="B9" s="516"/>
      <c r="C9" s="510" t="s">
        <v>35</v>
      </c>
      <c r="D9" s="518">
        <v>3053318.79</v>
      </c>
      <c r="E9" s="517"/>
      <c r="F9" s="520" t="s">
        <v>183</v>
      </c>
      <c r="G9" s="517">
        <v>3053318.79</v>
      </c>
      <c r="H9" s="517">
        <v>3053318.79</v>
      </c>
      <c r="I9" s="504">
        <v>0</v>
      </c>
      <c r="J9" s="505">
        <v>45298</v>
      </c>
      <c r="K9" s="506" t="s">
        <v>55</v>
      </c>
      <c r="L9" s="508" t="s">
        <v>267</v>
      </c>
      <c r="M9" s="504"/>
      <c r="N9" s="492"/>
    </row>
    <row r="10" spans="1:14" ht="20" customHeight="1" x14ac:dyDescent="0.3">
      <c r="A10" s="495"/>
      <c r="B10" s="516"/>
      <c r="C10" s="512"/>
      <c r="D10" s="519"/>
      <c r="E10" s="517"/>
      <c r="F10" s="521"/>
      <c r="G10" s="517"/>
      <c r="H10" s="517"/>
      <c r="I10" s="504"/>
      <c r="J10" s="499"/>
      <c r="K10" s="507"/>
      <c r="L10" s="509"/>
      <c r="M10" s="504"/>
      <c r="N10" s="492"/>
    </row>
    <row r="11" spans="1:14" ht="20" customHeight="1" x14ac:dyDescent="0.3">
      <c r="A11" s="495"/>
      <c r="B11" s="516"/>
      <c r="C11" s="510" t="s">
        <v>36</v>
      </c>
      <c r="D11" s="500">
        <v>2892047.95</v>
      </c>
      <c r="E11" s="517"/>
      <c r="F11" s="514">
        <v>45370</v>
      </c>
      <c r="G11" s="158">
        <v>1500000</v>
      </c>
      <c r="H11" s="515">
        <f>G11+G12+G13</f>
        <v>2892047.95</v>
      </c>
      <c r="I11" s="515">
        <f>D11-H11</f>
        <v>0</v>
      </c>
      <c r="J11" s="260">
        <v>45396</v>
      </c>
      <c r="K11" s="407" t="s">
        <v>38</v>
      </c>
      <c r="L11" s="408" t="s">
        <v>186</v>
      </c>
      <c r="M11" s="504"/>
      <c r="N11" s="492"/>
    </row>
    <row r="12" spans="1:14" ht="20" customHeight="1" x14ac:dyDescent="0.3">
      <c r="A12" s="495"/>
      <c r="B12" s="516"/>
      <c r="C12" s="511"/>
      <c r="D12" s="513"/>
      <c r="E12" s="517"/>
      <c r="F12" s="515"/>
      <c r="G12" s="338">
        <v>800000</v>
      </c>
      <c r="H12" s="515"/>
      <c r="I12" s="515"/>
      <c r="J12" s="260">
        <v>45432</v>
      </c>
      <c r="K12" s="407" t="s">
        <v>38</v>
      </c>
      <c r="L12" s="409" t="s">
        <v>187</v>
      </c>
      <c r="M12" s="504"/>
      <c r="N12" s="492"/>
    </row>
    <row r="13" spans="1:14" ht="20" customHeight="1" x14ac:dyDescent="0.3">
      <c r="A13" s="495"/>
      <c r="B13" s="516"/>
      <c r="C13" s="512"/>
      <c r="D13" s="501"/>
      <c r="E13" s="517"/>
      <c r="F13" s="500"/>
      <c r="G13" s="283">
        <v>592047.94999999995</v>
      </c>
      <c r="H13" s="500"/>
      <c r="I13" s="500"/>
      <c r="J13" s="406">
        <v>45467</v>
      </c>
      <c r="K13" s="407" t="s">
        <v>38</v>
      </c>
      <c r="L13" s="410" t="s">
        <v>188</v>
      </c>
      <c r="M13" s="504"/>
      <c r="N13" s="492"/>
    </row>
    <row r="14" spans="1:14" ht="20" customHeight="1" x14ac:dyDescent="0.3">
      <c r="A14" s="495"/>
      <c r="B14" s="516"/>
      <c r="C14" s="498" t="s">
        <v>37</v>
      </c>
      <c r="D14" s="500">
        <v>696710.29</v>
      </c>
      <c r="E14" s="517"/>
      <c r="F14" s="411">
        <v>45487</v>
      </c>
      <c r="G14" s="283">
        <v>300000</v>
      </c>
      <c r="H14" s="500">
        <f>G14+G15</f>
        <v>696000</v>
      </c>
      <c r="I14" s="412">
        <f>D14-H14</f>
        <v>710.29000000003725</v>
      </c>
      <c r="J14" s="411">
        <v>45565</v>
      </c>
      <c r="K14" s="283" t="s">
        <v>18</v>
      </c>
      <c r="L14" s="283"/>
      <c r="M14" s="504"/>
      <c r="N14" s="492"/>
    </row>
    <row r="15" spans="1:14" ht="20" customHeight="1" x14ac:dyDescent="0.3">
      <c r="A15" s="495"/>
      <c r="B15" s="516"/>
      <c r="C15" s="499"/>
      <c r="D15" s="501"/>
      <c r="E15" s="517"/>
      <c r="F15" s="411">
        <v>45627</v>
      </c>
      <c r="G15" s="338">
        <v>396000</v>
      </c>
      <c r="H15" s="501"/>
      <c r="I15" s="193"/>
      <c r="J15" s="6"/>
      <c r="K15" s="283" t="s">
        <v>18</v>
      </c>
      <c r="L15" s="413"/>
      <c r="M15" s="504"/>
      <c r="N15" s="492"/>
    </row>
    <row r="16" spans="1:14" ht="38.5" customHeight="1" x14ac:dyDescent="0.3">
      <c r="A16" s="421"/>
      <c r="B16" s="414" t="s">
        <v>43</v>
      </c>
      <c r="C16" s="414" t="s">
        <v>23</v>
      </c>
      <c r="D16" s="414" t="s">
        <v>28</v>
      </c>
      <c r="E16" s="414" t="s">
        <v>271</v>
      </c>
      <c r="F16" s="415" t="s">
        <v>26</v>
      </c>
      <c r="G16" s="415" t="s">
        <v>40</v>
      </c>
      <c r="H16" s="415" t="s">
        <v>51</v>
      </c>
      <c r="I16" s="416" t="s">
        <v>42</v>
      </c>
      <c r="J16" s="415" t="s">
        <v>44</v>
      </c>
      <c r="K16" s="415" t="s">
        <v>27</v>
      </c>
      <c r="L16" s="417" t="s">
        <v>39</v>
      </c>
      <c r="M16" s="419" t="s">
        <v>16</v>
      </c>
      <c r="N16" s="418" t="s">
        <v>275</v>
      </c>
    </row>
    <row r="17" spans="1:14" ht="51" customHeight="1" x14ac:dyDescent="0.3">
      <c r="A17" s="420" t="s">
        <v>373</v>
      </c>
      <c r="B17" s="251">
        <v>6480000</v>
      </c>
      <c r="C17" s="396" t="s">
        <v>374</v>
      </c>
      <c r="D17" s="437" t="s">
        <v>374</v>
      </c>
      <c r="E17" s="437" t="s">
        <v>374</v>
      </c>
      <c r="F17" s="98" t="s">
        <v>375</v>
      </c>
      <c r="G17" s="250">
        <v>2000000</v>
      </c>
      <c r="H17" s="250">
        <v>2000000</v>
      </c>
      <c r="I17" s="96">
        <v>0</v>
      </c>
      <c r="J17" s="98">
        <v>45670</v>
      </c>
      <c r="K17" s="397" t="s">
        <v>376</v>
      </c>
      <c r="L17" s="398" t="s">
        <v>339</v>
      </c>
      <c r="M17" s="250">
        <v>2000000</v>
      </c>
      <c r="N17" s="305"/>
    </row>
    <row r="18" spans="1:14" ht="45" customHeight="1" x14ac:dyDescent="0.3">
      <c r="A18" s="422"/>
      <c r="B18" s="423" t="s">
        <v>43</v>
      </c>
      <c r="C18" s="423" t="s">
        <v>23</v>
      </c>
      <c r="D18" s="423" t="s">
        <v>28</v>
      </c>
      <c r="E18" s="414" t="s">
        <v>271</v>
      </c>
      <c r="F18" s="415" t="s">
        <v>26</v>
      </c>
      <c r="G18" s="415" t="s">
        <v>40</v>
      </c>
      <c r="H18" s="415" t="s">
        <v>51</v>
      </c>
      <c r="I18" s="416" t="s">
        <v>42</v>
      </c>
      <c r="J18" s="424" t="s">
        <v>44</v>
      </c>
      <c r="K18" s="424" t="s">
        <v>27</v>
      </c>
      <c r="L18" s="424" t="s">
        <v>39</v>
      </c>
      <c r="M18" s="425" t="s">
        <v>16</v>
      </c>
      <c r="N18" s="423" t="s">
        <v>41</v>
      </c>
    </row>
    <row r="19" spans="1:14" ht="20" customHeight="1" x14ac:dyDescent="0.3">
      <c r="A19" s="502" t="s">
        <v>48</v>
      </c>
      <c r="B19" s="492">
        <v>22174744.18</v>
      </c>
      <c r="C19" s="478" t="s">
        <v>260</v>
      </c>
      <c r="D19" s="478" t="s">
        <v>260</v>
      </c>
      <c r="E19" s="493" t="s">
        <v>260</v>
      </c>
      <c r="F19" s="478" t="s">
        <v>375</v>
      </c>
      <c r="G19" s="390">
        <v>6500000</v>
      </c>
      <c r="H19" s="77" t="s">
        <v>339</v>
      </c>
      <c r="I19" s="77" t="s">
        <v>339</v>
      </c>
      <c r="J19" s="391">
        <v>45139</v>
      </c>
      <c r="K19" s="478" t="s">
        <v>38</v>
      </c>
      <c r="L19" s="392">
        <v>4078480</v>
      </c>
      <c r="M19" s="491">
        <f>G19+G20+G21+G22</f>
        <v>10500000</v>
      </c>
      <c r="N19" s="492">
        <v>0</v>
      </c>
    </row>
    <row r="20" spans="1:14" ht="20" customHeight="1" x14ac:dyDescent="0.3">
      <c r="A20" s="503"/>
      <c r="B20" s="492"/>
      <c r="C20" s="478"/>
      <c r="D20" s="478"/>
      <c r="E20" s="494"/>
      <c r="F20" s="478"/>
      <c r="G20" s="390">
        <v>1000000</v>
      </c>
      <c r="H20" s="77" t="s">
        <v>339</v>
      </c>
      <c r="I20" s="77" t="s">
        <v>339</v>
      </c>
      <c r="J20" s="391">
        <v>45264</v>
      </c>
      <c r="K20" s="478"/>
      <c r="L20" s="393" t="s">
        <v>190</v>
      </c>
      <c r="M20" s="491"/>
      <c r="N20" s="492"/>
    </row>
    <row r="21" spans="1:14" ht="20" customHeight="1" x14ac:dyDescent="0.3">
      <c r="A21" s="503"/>
      <c r="B21" s="492"/>
      <c r="C21" s="478"/>
      <c r="D21" s="478"/>
      <c r="E21" s="494"/>
      <c r="F21" s="478"/>
      <c r="G21" s="390">
        <v>2000000</v>
      </c>
      <c r="H21" s="77" t="s">
        <v>339</v>
      </c>
      <c r="I21" s="77" t="s">
        <v>339</v>
      </c>
      <c r="J21" s="394">
        <v>45267</v>
      </c>
      <c r="K21" s="478"/>
      <c r="L21" s="392" t="s">
        <v>248</v>
      </c>
      <c r="M21" s="491"/>
      <c r="N21" s="492"/>
    </row>
    <row r="22" spans="1:14" ht="20" customHeight="1" x14ac:dyDescent="0.3">
      <c r="A22" s="503"/>
      <c r="B22" s="492"/>
      <c r="C22" s="478"/>
      <c r="D22" s="478"/>
      <c r="E22" s="494"/>
      <c r="F22" s="478"/>
      <c r="G22" s="390">
        <v>1000000</v>
      </c>
      <c r="H22" s="77" t="s">
        <v>339</v>
      </c>
      <c r="I22" s="77" t="s">
        <v>339</v>
      </c>
      <c r="J22" s="394">
        <v>45484</v>
      </c>
      <c r="K22" s="478"/>
      <c r="L22" s="393" t="s">
        <v>146</v>
      </c>
      <c r="M22" s="491"/>
      <c r="N22" s="492"/>
    </row>
    <row r="23" spans="1:14" ht="40" customHeight="1" x14ac:dyDescent="0.35">
      <c r="A23" s="421"/>
      <c r="B23" s="439" t="s">
        <v>270</v>
      </c>
      <c r="C23" s="440" t="s">
        <v>23</v>
      </c>
      <c r="D23" s="441" t="s">
        <v>28</v>
      </c>
      <c r="E23" s="438" t="s">
        <v>271</v>
      </c>
      <c r="F23" s="442" t="s">
        <v>26</v>
      </c>
      <c r="G23" s="443" t="s">
        <v>40</v>
      </c>
      <c r="H23" s="428" t="s">
        <v>51</v>
      </c>
      <c r="I23" s="429" t="s">
        <v>42</v>
      </c>
      <c r="J23" s="444" t="s">
        <v>44</v>
      </c>
      <c r="K23" s="442" t="s">
        <v>27</v>
      </c>
      <c r="L23" s="442" t="s">
        <v>39</v>
      </c>
      <c r="M23" s="445" t="s">
        <v>16</v>
      </c>
      <c r="N23" s="440" t="s">
        <v>209</v>
      </c>
    </row>
    <row r="24" spans="1:14" ht="20" customHeight="1" x14ac:dyDescent="0.3">
      <c r="A24" s="495" t="s">
        <v>57</v>
      </c>
      <c r="B24" s="496">
        <v>5606339.4400000004</v>
      </c>
      <c r="C24" s="476" t="s">
        <v>54</v>
      </c>
      <c r="D24" s="497">
        <v>2323788.5299999998</v>
      </c>
      <c r="E24" s="479">
        <f>D24+D26+D27+D28</f>
        <v>5658196.6299999999</v>
      </c>
      <c r="F24" s="488">
        <v>45532</v>
      </c>
      <c r="G24" s="487">
        <v>0</v>
      </c>
      <c r="H24" s="487">
        <v>2323788.5299999998</v>
      </c>
      <c r="I24" s="476">
        <f>D24-H24</f>
        <v>0</v>
      </c>
      <c r="J24" s="488">
        <v>45326</v>
      </c>
      <c r="K24" s="489" t="s">
        <v>55</v>
      </c>
      <c r="L24" s="490" t="s">
        <v>191</v>
      </c>
      <c r="M24" s="476">
        <f>H24+H26+H27+H28</f>
        <v>5514940.4100000001</v>
      </c>
      <c r="N24" s="477">
        <f>E24-M24</f>
        <v>143256.21999999974</v>
      </c>
    </row>
    <row r="25" spans="1:14" ht="20" customHeight="1" x14ac:dyDescent="0.3">
      <c r="A25" s="495"/>
      <c r="B25" s="496"/>
      <c r="C25" s="476"/>
      <c r="D25" s="497"/>
      <c r="E25" s="480"/>
      <c r="F25" s="488"/>
      <c r="G25" s="487"/>
      <c r="H25" s="487"/>
      <c r="I25" s="476"/>
      <c r="J25" s="488"/>
      <c r="K25" s="489"/>
      <c r="L25" s="490"/>
      <c r="M25" s="476"/>
      <c r="N25" s="477"/>
    </row>
    <row r="26" spans="1:14" ht="20" customHeight="1" x14ac:dyDescent="0.3">
      <c r="A26" s="495"/>
      <c r="B26" s="496"/>
      <c r="C26" s="139" t="s">
        <v>35</v>
      </c>
      <c r="D26" s="432">
        <v>1858029.62</v>
      </c>
      <c r="E26" s="480"/>
      <c r="F26" s="433">
        <v>45351</v>
      </c>
      <c r="G26" s="432">
        <v>0</v>
      </c>
      <c r="H26" s="432">
        <v>1858029.62</v>
      </c>
      <c r="I26" s="139">
        <v>0</v>
      </c>
      <c r="J26" s="434" t="s">
        <v>62</v>
      </c>
      <c r="K26" s="489"/>
      <c r="L26" s="431" t="s">
        <v>192</v>
      </c>
      <c r="M26" s="476"/>
      <c r="N26" s="477"/>
    </row>
    <row r="27" spans="1:14" ht="20" customHeight="1" x14ac:dyDescent="0.3">
      <c r="A27" s="495"/>
      <c r="B27" s="496"/>
      <c r="C27" s="139" t="s">
        <v>36</v>
      </c>
      <c r="D27" s="432">
        <v>983122.26</v>
      </c>
      <c r="E27" s="480"/>
      <c r="F27" s="433">
        <v>45411</v>
      </c>
      <c r="G27" s="432">
        <v>0</v>
      </c>
      <c r="H27" s="432">
        <v>983122.26</v>
      </c>
      <c r="I27" s="139">
        <v>0</v>
      </c>
      <c r="J27" s="430">
        <v>45467</v>
      </c>
      <c r="K27" s="489"/>
      <c r="L27" s="431" t="s">
        <v>193</v>
      </c>
      <c r="M27" s="476"/>
      <c r="N27" s="477"/>
    </row>
    <row r="28" spans="1:14" ht="39" customHeight="1" x14ac:dyDescent="0.3">
      <c r="A28" s="495"/>
      <c r="B28" s="496"/>
      <c r="C28" s="435" t="s">
        <v>195</v>
      </c>
      <c r="D28" s="432">
        <v>493256.22</v>
      </c>
      <c r="E28" s="480"/>
      <c r="F28" s="433">
        <v>45453</v>
      </c>
      <c r="G28" s="139">
        <v>0</v>
      </c>
      <c r="H28" s="139">
        <v>350000</v>
      </c>
      <c r="I28" s="139">
        <f>D28-H28</f>
        <v>143256.21999999997</v>
      </c>
      <c r="J28" s="430">
        <v>45560</v>
      </c>
      <c r="K28" s="436" t="s">
        <v>261</v>
      </c>
      <c r="L28" s="431" t="s">
        <v>339</v>
      </c>
      <c r="M28" s="476"/>
      <c r="N28" s="477"/>
    </row>
    <row r="29" spans="1:14" ht="33" customHeight="1" x14ac:dyDescent="0.35">
      <c r="A29" s="481" t="s">
        <v>196</v>
      </c>
      <c r="B29" s="414" t="s">
        <v>43</v>
      </c>
      <c r="C29" s="414" t="s">
        <v>23</v>
      </c>
      <c r="D29" s="414" t="s">
        <v>28</v>
      </c>
      <c r="E29" s="438" t="s">
        <v>271</v>
      </c>
      <c r="F29" s="426" t="s">
        <v>26</v>
      </c>
      <c r="G29" s="427" t="s">
        <v>40</v>
      </c>
      <c r="H29" s="421"/>
      <c r="I29" s="421"/>
      <c r="J29" s="415" t="s">
        <v>44</v>
      </c>
      <c r="K29" s="426" t="s">
        <v>27</v>
      </c>
      <c r="L29" s="426" t="s">
        <v>39</v>
      </c>
      <c r="M29" s="429" t="s">
        <v>368</v>
      </c>
      <c r="N29" s="446" t="s">
        <v>369</v>
      </c>
    </row>
    <row r="30" spans="1:14" ht="42.5" customHeight="1" x14ac:dyDescent="0.3">
      <c r="A30" s="482"/>
      <c r="B30" s="483">
        <v>11196242.380000001</v>
      </c>
      <c r="C30" s="483" t="s">
        <v>24</v>
      </c>
      <c r="D30" s="486">
        <v>2371632.88</v>
      </c>
      <c r="E30" s="486">
        <v>2371632.88</v>
      </c>
      <c r="F30" s="472">
        <v>45361</v>
      </c>
      <c r="G30" s="447">
        <v>1500000</v>
      </c>
      <c r="H30" s="6"/>
      <c r="I30" s="6"/>
      <c r="J30" s="27">
        <v>45375</v>
      </c>
      <c r="K30" s="26" t="s">
        <v>58</v>
      </c>
      <c r="L30" s="26" t="s">
        <v>198</v>
      </c>
      <c r="M30" s="471">
        <f>G30+G31+G32</f>
        <v>2621632.88</v>
      </c>
      <c r="N30" s="471">
        <f>D30-M30</f>
        <v>-250000</v>
      </c>
    </row>
    <row r="31" spans="1:14" ht="35.5" customHeight="1" x14ac:dyDescent="0.3">
      <c r="A31" s="482"/>
      <c r="B31" s="484"/>
      <c r="C31" s="484"/>
      <c r="D31" s="486"/>
      <c r="E31" s="486"/>
      <c r="F31" s="472"/>
      <c r="G31" s="447">
        <v>871632.88</v>
      </c>
      <c r="H31" s="6"/>
      <c r="I31" s="6"/>
      <c r="J31" s="27">
        <v>45396</v>
      </c>
      <c r="K31" s="26" t="s">
        <v>58</v>
      </c>
      <c r="L31" s="77" t="s">
        <v>197</v>
      </c>
      <c r="M31" s="471"/>
      <c r="N31" s="471"/>
    </row>
    <row r="32" spans="1:14" ht="39" customHeight="1" x14ac:dyDescent="0.3">
      <c r="A32" s="482"/>
      <c r="B32" s="485"/>
      <c r="C32" s="485"/>
      <c r="D32" s="473" t="s">
        <v>370</v>
      </c>
      <c r="E32" s="474"/>
      <c r="F32" s="475"/>
      <c r="G32" s="448">
        <v>250000</v>
      </c>
      <c r="H32" s="6"/>
      <c r="I32" s="6"/>
      <c r="J32" s="10">
        <v>45657</v>
      </c>
      <c r="K32" s="77" t="s">
        <v>157</v>
      </c>
      <c r="L32" s="77" t="s">
        <v>339</v>
      </c>
      <c r="M32" s="471"/>
      <c r="N32" s="471"/>
    </row>
  </sheetData>
  <mergeCells count="54">
    <mergeCell ref="M8:M15"/>
    <mergeCell ref="N8:N15"/>
    <mergeCell ref="C9:C10"/>
    <mergeCell ref="D9:D10"/>
    <mergeCell ref="F9:F10"/>
    <mergeCell ref="G9:G10"/>
    <mergeCell ref="H9:H10"/>
    <mergeCell ref="I9:I10"/>
    <mergeCell ref="J9:J10"/>
    <mergeCell ref="K9:K10"/>
    <mergeCell ref="L9:L10"/>
    <mergeCell ref="C11:C13"/>
    <mergeCell ref="D11:D13"/>
    <mergeCell ref="F11:F13"/>
    <mergeCell ref="H11:H13"/>
    <mergeCell ref="I11:I13"/>
    <mergeCell ref="E8:E15"/>
    <mergeCell ref="C14:C15"/>
    <mergeCell ref="D14:D15"/>
    <mergeCell ref="H14:H15"/>
    <mergeCell ref="A19:A22"/>
    <mergeCell ref="B19:B22"/>
    <mergeCell ref="D19:D22"/>
    <mergeCell ref="F19:F22"/>
    <mergeCell ref="A8:A15"/>
    <mergeCell ref="B8:B15"/>
    <mergeCell ref="M19:M22"/>
    <mergeCell ref="N19:N22"/>
    <mergeCell ref="E19:E22"/>
    <mergeCell ref="A24:A28"/>
    <mergeCell ref="B24:B28"/>
    <mergeCell ref="C24:C25"/>
    <mergeCell ref="D24:D25"/>
    <mergeCell ref="F24:F25"/>
    <mergeCell ref="K19:K22"/>
    <mergeCell ref="C19:C22"/>
    <mergeCell ref="E24:E28"/>
    <mergeCell ref="A29:A32"/>
    <mergeCell ref="B30:B32"/>
    <mergeCell ref="C30:C32"/>
    <mergeCell ref="D30:D31"/>
    <mergeCell ref="E30:E31"/>
    <mergeCell ref="N30:N32"/>
    <mergeCell ref="F30:F31"/>
    <mergeCell ref="D32:F32"/>
    <mergeCell ref="M24:M28"/>
    <mergeCell ref="N24:N28"/>
    <mergeCell ref="M30:M32"/>
    <mergeCell ref="G24:G25"/>
    <mergeCell ref="H24:H25"/>
    <mergeCell ref="I24:I25"/>
    <mergeCell ref="J24:J25"/>
    <mergeCell ref="K24:K27"/>
    <mergeCell ref="L24:L25"/>
  </mergeCells>
  <pageMargins left="0.7" right="0.7" top="0.75" bottom="0.75" header="0.3" footer="0.3"/>
  <pageSetup paperSize="9" scale="41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32D9-8DA8-4D27-B717-5EF5B80A2889}">
  <dimension ref="A5:I19"/>
  <sheetViews>
    <sheetView tabSelected="1" topLeftCell="A25" zoomScale="79" zoomScaleNormal="80" workbookViewId="0">
      <selection activeCell="E10" sqref="E10"/>
    </sheetView>
  </sheetViews>
  <sheetFormatPr baseColWidth="10" defaultRowHeight="14" x14ac:dyDescent="0.3"/>
  <cols>
    <col min="1" max="1" width="25.796875" style="856" bestFit="1" customWidth="1"/>
    <col min="2" max="2" width="19.296875" style="856" bestFit="1" customWidth="1"/>
    <col min="3" max="3" width="18.796875" style="856" bestFit="1" customWidth="1"/>
    <col min="4" max="4" width="18.296875" style="856" bestFit="1" customWidth="1"/>
    <col min="5" max="5" width="25.59765625" style="858" bestFit="1" customWidth="1"/>
    <col min="6" max="6" width="38.69921875" style="856" bestFit="1" customWidth="1"/>
    <col min="7" max="7" width="28.296875" style="858" customWidth="1"/>
    <col min="8" max="8" width="7.69921875" style="859" bestFit="1" customWidth="1"/>
    <col min="9" max="9" width="31.09765625" style="856" bestFit="1" customWidth="1"/>
  </cols>
  <sheetData>
    <row r="5" spans="1:9" ht="25.5" customHeight="1" x14ac:dyDescent="0.3">
      <c r="A5" s="839" t="s">
        <v>402</v>
      </c>
      <c r="B5" s="839" t="s">
        <v>270</v>
      </c>
      <c r="C5" s="839" t="s">
        <v>400</v>
      </c>
      <c r="D5" s="839" t="s">
        <v>401</v>
      </c>
      <c r="E5" s="840" t="s">
        <v>434</v>
      </c>
      <c r="F5" s="839" t="s">
        <v>435</v>
      </c>
      <c r="G5" s="841" t="s">
        <v>404</v>
      </c>
      <c r="H5" s="842" t="s">
        <v>422</v>
      </c>
      <c r="I5" s="843" t="s">
        <v>403</v>
      </c>
    </row>
    <row r="6" spans="1:9" ht="77" customHeight="1" x14ac:dyDescent="0.3">
      <c r="A6" s="844"/>
      <c r="B6" s="844"/>
      <c r="C6" s="844"/>
      <c r="D6" s="844"/>
      <c r="E6" s="845"/>
      <c r="F6" s="844"/>
      <c r="G6" s="841" t="s">
        <v>433</v>
      </c>
      <c r="H6" s="846"/>
      <c r="I6" s="841" t="s">
        <v>436</v>
      </c>
    </row>
    <row r="7" spans="1:9" ht="77" customHeight="1" x14ac:dyDescent="0.3">
      <c r="A7" s="847" t="s">
        <v>148</v>
      </c>
      <c r="B7" s="848">
        <v>27932772.539999999</v>
      </c>
      <c r="C7" s="848" t="s">
        <v>417</v>
      </c>
      <c r="D7" s="848" t="s">
        <v>414</v>
      </c>
      <c r="E7" s="849">
        <f>B7*0.1</f>
        <v>2793277.2540000002</v>
      </c>
      <c r="F7" s="848" t="s">
        <v>405</v>
      </c>
      <c r="G7" s="848">
        <f>0.001*12000000*153*11</f>
        <v>20196000</v>
      </c>
      <c r="H7" s="850">
        <v>0.4</v>
      </c>
      <c r="I7" s="851">
        <f>708000000*0.4</f>
        <v>283200000</v>
      </c>
    </row>
    <row r="8" spans="1:9" ht="77" customHeight="1" x14ac:dyDescent="0.3">
      <c r="A8" s="852" t="s">
        <v>143</v>
      </c>
      <c r="B8" s="848">
        <v>12134255</v>
      </c>
      <c r="C8" s="848" t="s">
        <v>418</v>
      </c>
      <c r="D8" s="848" t="s">
        <v>419</v>
      </c>
      <c r="E8" s="848">
        <f>B8*0.1</f>
        <v>1213425.5</v>
      </c>
      <c r="F8" s="848" t="s">
        <v>405</v>
      </c>
      <c r="G8" s="848">
        <f>0.001*12000000*153*13.5</f>
        <v>24786000</v>
      </c>
      <c r="H8" s="848">
        <v>0.5</v>
      </c>
      <c r="I8" s="848">
        <f>708000000*0.5</f>
        <v>354000000</v>
      </c>
    </row>
    <row r="9" spans="1:9" ht="36.5" customHeight="1" x14ac:dyDescent="0.3">
      <c r="A9" s="853" t="s">
        <v>406</v>
      </c>
      <c r="B9" s="848">
        <v>496897044.92000002</v>
      </c>
      <c r="C9" s="848" t="s">
        <v>437</v>
      </c>
      <c r="D9" s="848">
        <v>10.029999999999999</v>
      </c>
      <c r="E9" s="848">
        <v>49689704.490000002</v>
      </c>
      <c r="F9" s="848" t="s">
        <v>405</v>
      </c>
      <c r="G9" s="848">
        <f>0.001*12000000*153*10.03</f>
        <v>18415080</v>
      </c>
      <c r="H9" s="848">
        <v>0.02</v>
      </c>
      <c r="I9" s="848">
        <f>708000000*0.02</f>
        <v>14160000</v>
      </c>
    </row>
    <row r="10" spans="1:9" ht="59" customHeight="1" x14ac:dyDescent="0.3">
      <c r="A10" s="853" t="s">
        <v>48</v>
      </c>
      <c r="B10" s="848">
        <v>22174744.18</v>
      </c>
      <c r="C10" s="848" t="s">
        <v>427</v>
      </c>
      <c r="D10" s="848" t="s">
        <v>428</v>
      </c>
      <c r="E10" s="848">
        <v>2217474.42</v>
      </c>
      <c r="F10" s="848" t="s">
        <v>405</v>
      </c>
      <c r="G10" s="848">
        <f>0.001*12000000*153*16.8</f>
        <v>30844800</v>
      </c>
      <c r="H10" s="848">
        <v>0.01</v>
      </c>
      <c r="I10" s="848">
        <f>708000000*0.01</f>
        <v>7080000</v>
      </c>
    </row>
    <row r="11" spans="1:9" ht="38" customHeight="1" x14ac:dyDescent="0.3">
      <c r="A11" s="854" t="s">
        <v>337</v>
      </c>
      <c r="B11" s="848">
        <v>23359481.530000001</v>
      </c>
      <c r="C11" s="848" t="s">
        <v>432</v>
      </c>
      <c r="D11" s="848">
        <v>13.23</v>
      </c>
      <c r="E11" s="848">
        <v>2335948.15</v>
      </c>
      <c r="F11" s="848">
        <v>233594.82</v>
      </c>
      <c r="G11" s="848">
        <f>0.001*12000000*153*13.23</f>
        <v>24290280</v>
      </c>
      <c r="H11" s="848">
        <v>0.01</v>
      </c>
      <c r="I11" s="848">
        <f t="shared" ref="I11:I13" si="0">708000000*0.01</f>
        <v>7080000</v>
      </c>
    </row>
    <row r="12" spans="1:9" ht="34.5" customHeight="1" x14ac:dyDescent="0.3">
      <c r="A12" s="853" t="s">
        <v>407</v>
      </c>
      <c r="B12" s="848">
        <v>11196242.380000001</v>
      </c>
      <c r="C12" s="848" t="s">
        <v>429</v>
      </c>
      <c r="D12" s="848" t="s">
        <v>430</v>
      </c>
      <c r="E12" s="848">
        <v>1119624.24</v>
      </c>
      <c r="F12" s="848">
        <v>111962.42</v>
      </c>
      <c r="G12" s="848">
        <f>0.001*12000000*153*14.47</f>
        <v>26566920</v>
      </c>
      <c r="H12" s="848">
        <v>0.01</v>
      </c>
      <c r="I12" s="848">
        <f t="shared" si="0"/>
        <v>7080000</v>
      </c>
    </row>
    <row r="13" spans="1:9" ht="34.5" customHeight="1" x14ac:dyDescent="0.3">
      <c r="A13" s="855" t="s">
        <v>412</v>
      </c>
      <c r="B13" s="848">
        <v>27269903.399999999</v>
      </c>
      <c r="C13" s="848" t="s">
        <v>426</v>
      </c>
      <c r="D13" s="848">
        <v>12.73</v>
      </c>
      <c r="E13" s="848">
        <v>2726990.34</v>
      </c>
      <c r="F13" s="848">
        <v>272699.03000000003</v>
      </c>
      <c r="G13" s="848">
        <f>0.001*12000000*153*12.73</f>
        <v>23372280</v>
      </c>
      <c r="H13" s="848">
        <v>0.01</v>
      </c>
      <c r="I13" s="848">
        <f t="shared" si="0"/>
        <v>7080000</v>
      </c>
    </row>
    <row r="14" spans="1:9" ht="32.5" customHeight="1" x14ac:dyDescent="0.3">
      <c r="A14" s="853" t="s">
        <v>408</v>
      </c>
      <c r="B14" s="848">
        <v>1800000</v>
      </c>
      <c r="C14" s="848" t="s">
        <v>420</v>
      </c>
      <c r="D14" s="848" t="s">
        <v>421</v>
      </c>
      <c r="E14" s="848">
        <v>180000</v>
      </c>
      <c r="F14" s="848"/>
      <c r="G14" s="848">
        <f>0.001*12000000*153*3.19</f>
        <v>5856840</v>
      </c>
      <c r="H14" s="848">
        <v>0.01</v>
      </c>
      <c r="I14" s="848">
        <f>708000000*0.01</f>
        <v>7080000</v>
      </c>
    </row>
    <row r="15" spans="1:9" ht="37" customHeight="1" x14ac:dyDescent="0.3">
      <c r="A15" s="853" t="s">
        <v>409</v>
      </c>
      <c r="B15" s="848">
        <v>13750000</v>
      </c>
      <c r="C15" s="848" t="s">
        <v>431</v>
      </c>
      <c r="D15" s="848">
        <v>3.57</v>
      </c>
      <c r="E15" s="848">
        <v>1375000</v>
      </c>
      <c r="F15" s="848">
        <v>137500</v>
      </c>
      <c r="G15" s="848">
        <f>0.001*12000000*153*3.57</f>
        <v>6554520</v>
      </c>
      <c r="H15" s="848">
        <v>5.0000000000000001E-3</v>
      </c>
      <c r="I15" s="848">
        <f>708000000*0.05</f>
        <v>35400000</v>
      </c>
    </row>
    <row r="16" spans="1:9" ht="44" customHeight="1" x14ac:dyDescent="0.3">
      <c r="A16" s="853" t="s">
        <v>410</v>
      </c>
      <c r="B16" s="848">
        <v>4720000</v>
      </c>
      <c r="C16" s="848" t="s">
        <v>423</v>
      </c>
      <c r="D16" s="848" t="s">
        <v>424</v>
      </c>
      <c r="E16" s="848">
        <v>472000</v>
      </c>
      <c r="F16" s="848"/>
      <c r="G16" s="848">
        <f>0.001*12000000*153*5</f>
        <v>9180000</v>
      </c>
      <c r="H16" s="848">
        <v>5.0000000000000001E-3</v>
      </c>
      <c r="I16" s="848">
        <f>708000000*0.05</f>
        <v>35400000</v>
      </c>
    </row>
    <row r="17" spans="1:9" ht="55" customHeight="1" x14ac:dyDescent="0.3">
      <c r="A17" s="853" t="s">
        <v>411</v>
      </c>
      <c r="B17" s="848">
        <v>3450000</v>
      </c>
      <c r="C17" s="848" t="s">
        <v>415</v>
      </c>
      <c r="D17" s="848" t="s">
        <v>416</v>
      </c>
      <c r="E17" s="848">
        <v>118833.33</v>
      </c>
      <c r="F17" s="848" t="s">
        <v>405</v>
      </c>
      <c r="G17" s="848">
        <f>0.001*12000000*153*1</f>
        <v>1836000</v>
      </c>
      <c r="H17" s="848">
        <v>0.01</v>
      </c>
      <c r="I17" s="848">
        <f>708000000*0.01</f>
        <v>7080000</v>
      </c>
    </row>
    <row r="18" spans="1:9" ht="25.5" customHeight="1" x14ac:dyDescent="0.3">
      <c r="A18" s="853" t="s">
        <v>413</v>
      </c>
      <c r="B18" s="848">
        <v>6480000</v>
      </c>
      <c r="C18" s="848" t="s">
        <v>425</v>
      </c>
      <c r="D18" s="848" t="s">
        <v>416</v>
      </c>
      <c r="E18" s="848">
        <v>648000</v>
      </c>
      <c r="F18" s="848"/>
      <c r="G18" s="848">
        <f>0.001*12000000*153*1</f>
        <v>1836000</v>
      </c>
      <c r="H18" s="848">
        <v>0.01</v>
      </c>
      <c r="I18" s="848">
        <f>708000000*0.01</f>
        <v>7080000</v>
      </c>
    </row>
    <row r="19" spans="1:9" x14ac:dyDescent="0.3">
      <c r="B19" s="857"/>
    </row>
  </sheetData>
  <mergeCells count="7">
    <mergeCell ref="H5:H6"/>
    <mergeCell ref="F5:F6"/>
    <mergeCell ref="E5:E6"/>
    <mergeCell ref="D5:D6"/>
    <mergeCell ref="C5:C6"/>
    <mergeCell ref="B5:B6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0861-609A-4E44-8532-61F29A67ACE8}">
  <dimension ref="A3:H19"/>
  <sheetViews>
    <sheetView topLeftCell="A8" workbookViewId="0">
      <selection activeCell="E18" sqref="E18"/>
    </sheetView>
  </sheetViews>
  <sheetFormatPr baseColWidth="10" defaultRowHeight="13" x14ac:dyDescent="0.3"/>
  <cols>
    <col min="1" max="1" width="18.5" style="3" customWidth="1"/>
    <col min="2" max="2" width="23.3984375" style="58" customWidth="1"/>
    <col min="3" max="3" width="21.09765625" customWidth="1"/>
  </cols>
  <sheetData>
    <row r="3" spans="1:3" ht="13.5" thickBot="1" x14ac:dyDescent="0.35"/>
    <row r="4" spans="1:3" ht="26" x14ac:dyDescent="0.3">
      <c r="A4" s="399" t="s">
        <v>3</v>
      </c>
      <c r="B4" s="400" t="s">
        <v>276</v>
      </c>
      <c r="C4" s="400" t="s">
        <v>377</v>
      </c>
    </row>
    <row r="5" spans="1:3" ht="16" customHeight="1" x14ac:dyDescent="0.3">
      <c r="A5" s="77" t="s">
        <v>385</v>
      </c>
      <c r="B5" s="64">
        <v>394250</v>
      </c>
      <c r="C5" s="77" t="s">
        <v>169</v>
      </c>
    </row>
    <row r="6" spans="1:3" ht="20" customHeight="1" x14ac:dyDescent="0.3">
      <c r="A6" s="77" t="s">
        <v>386</v>
      </c>
      <c r="B6" s="64">
        <v>2363878.85</v>
      </c>
      <c r="C6" s="77" t="s">
        <v>169</v>
      </c>
    </row>
    <row r="7" spans="1:3" ht="26.5" customHeight="1" x14ac:dyDescent="0.3">
      <c r="A7" s="94" t="s">
        <v>387</v>
      </c>
      <c r="B7" s="64">
        <v>64499.85</v>
      </c>
      <c r="C7" s="77" t="s">
        <v>55</v>
      </c>
    </row>
    <row r="8" spans="1:3" ht="24.5" customHeight="1" x14ac:dyDescent="0.3">
      <c r="A8" s="306" t="s">
        <v>388</v>
      </c>
      <c r="B8" s="460">
        <v>1821192</v>
      </c>
      <c r="C8" s="77" t="s">
        <v>169</v>
      </c>
    </row>
    <row r="9" spans="1:3" ht="27" customHeight="1" x14ac:dyDescent="0.3">
      <c r="A9" s="9" t="s">
        <v>389</v>
      </c>
      <c r="B9" s="64">
        <v>252750</v>
      </c>
      <c r="C9" s="77" t="s">
        <v>169</v>
      </c>
    </row>
    <row r="10" spans="1:3" ht="27" customHeight="1" x14ac:dyDescent="0.3">
      <c r="A10" s="306" t="s">
        <v>391</v>
      </c>
      <c r="B10" s="64">
        <v>777644.82</v>
      </c>
      <c r="C10" s="77" t="s">
        <v>169</v>
      </c>
    </row>
    <row r="11" spans="1:3" ht="24" customHeight="1" x14ac:dyDescent="0.3">
      <c r="A11" s="94" t="s">
        <v>392</v>
      </c>
      <c r="B11" s="64">
        <v>182500</v>
      </c>
      <c r="C11" s="77" t="s">
        <v>169</v>
      </c>
    </row>
    <row r="12" spans="1:3" ht="22.5" customHeight="1" x14ac:dyDescent="0.3">
      <c r="A12" s="77" t="s">
        <v>393</v>
      </c>
      <c r="B12" s="64">
        <v>181200</v>
      </c>
      <c r="C12" s="77" t="s">
        <v>169</v>
      </c>
    </row>
    <row r="13" spans="1:3" ht="23.5" customHeight="1" x14ac:dyDescent="0.3">
      <c r="A13" s="77" t="s">
        <v>394</v>
      </c>
      <c r="B13" s="64">
        <v>51220838.109999999</v>
      </c>
      <c r="C13" s="77" t="s">
        <v>396</v>
      </c>
    </row>
    <row r="14" spans="1:3" ht="26" customHeight="1" x14ac:dyDescent="0.3">
      <c r="A14" s="77" t="s">
        <v>395</v>
      </c>
      <c r="B14" s="64">
        <v>132190.79</v>
      </c>
      <c r="C14" s="77" t="s">
        <v>169</v>
      </c>
    </row>
    <row r="15" spans="1:3" ht="28" customHeight="1" x14ac:dyDescent="0.3">
      <c r="A15" s="77" t="s">
        <v>397</v>
      </c>
      <c r="B15" s="64">
        <v>3640275.5</v>
      </c>
      <c r="C15" s="9" t="s">
        <v>38</v>
      </c>
    </row>
    <row r="16" spans="1:3" x14ac:dyDescent="0.3">
      <c r="A16" s="3" t="s">
        <v>399</v>
      </c>
      <c r="B16" s="58">
        <v>525908.75</v>
      </c>
    </row>
    <row r="19" spans="8:8" x14ac:dyDescent="0.3">
      <c r="H19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3"/>
  <sheetViews>
    <sheetView view="pageLayout" topLeftCell="A27" zoomScale="70" zoomScaleNormal="70" zoomScaleSheetLayoutView="38" zoomScalePageLayoutView="70" workbookViewId="0">
      <selection activeCell="C45" sqref="C45"/>
    </sheetView>
  </sheetViews>
  <sheetFormatPr baseColWidth="10" defaultColWidth="12.69921875" defaultRowHeight="10.5" x14ac:dyDescent="0.3"/>
  <cols>
    <col min="1" max="1" width="13.59765625" style="207" customWidth="1"/>
    <col min="2" max="2" width="15.59765625" style="207" customWidth="1"/>
    <col min="3" max="3" width="34" style="207" customWidth="1"/>
    <col min="4" max="4" width="23.5" style="207" customWidth="1"/>
    <col min="5" max="5" width="21.296875" style="207" customWidth="1"/>
    <col min="6" max="6" width="18.296875" style="228" customWidth="1"/>
    <col min="7" max="7" width="24" style="228" customWidth="1"/>
    <col min="8" max="16384" width="12.69921875" style="207"/>
  </cols>
  <sheetData>
    <row r="1" spans="1:7" ht="10" customHeight="1" x14ac:dyDescent="0.3">
      <c r="C1" s="525" t="s">
        <v>289</v>
      </c>
      <c r="D1" s="525"/>
      <c r="E1" s="525"/>
      <c r="F1" s="525"/>
    </row>
    <row r="2" spans="1:7" ht="15" customHeight="1" x14ac:dyDescent="0.25">
      <c r="A2" s="526" t="s">
        <v>4</v>
      </c>
      <c r="B2" s="526"/>
      <c r="C2" s="526"/>
      <c r="D2" s="526"/>
      <c r="E2" s="526" t="s">
        <v>5</v>
      </c>
      <c r="F2" s="526"/>
      <c r="G2" s="526"/>
    </row>
    <row r="3" spans="1:7" ht="9" customHeight="1" x14ac:dyDescent="0.25">
      <c r="A3" s="208" t="s">
        <v>6</v>
      </c>
      <c r="B3" s="208" t="s">
        <v>7</v>
      </c>
      <c r="C3" s="208" t="s">
        <v>8</v>
      </c>
      <c r="D3" s="208" t="s">
        <v>9</v>
      </c>
      <c r="E3" s="208" t="s">
        <v>6</v>
      </c>
      <c r="F3" s="262" t="s">
        <v>10</v>
      </c>
      <c r="G3" s="262" t="s">
        <v>9</v>
      </c>
    </row>
    <row r="4" spans="1:7" x14ac:dyDescent="0.25">
      <c r="A4" s="245">
        <v>44681</v>
      </c>
      <c r="B4" s="210" t="s">
        <v>71</v>
      </c>
      <c r="C4" s="210" t="s">
        <v>72</v>
      </c>
      <c r="D4" s="246">
        <v>8115831.0700000003</v>
      </c>
      <c r="E4" s="245">
        <v>44689</v>
      </c>
      <c r="F4" s="271" t="s">
        <v>264</v>
      </c>
      <c r="G4" s="263">
        <v>10000000</v>
      </c>
    </row>
    <row r="5" spans="1:7" x14ac:dyDescent="0.25">
      <c r="A5" s="245">
        <v>44711</v>
      </c>
      <c r="B5" s="210" t="s">
        <v>73</v>
      </c>
      <c r="C5" s="210" t="s">
        <v>72</v>
      </c>
      <c r="D5" s="246">
        <v>11866115.98</v>
      </c>
      <c r="E5" s="245">
        <v>44717</v>
      </c>
      <c r="F5" s="271" t="s">
        <v>264</v>
      </c>
      <c r="G5" s="263">
        <v>10000000</v>
      </c>
    </row>
    <row r="6" spans="1:7" x14ac:dyDescent="0.25">
      <c r="A6" s="245">
        <v>44742</v>
      </c>
      <c r="B6" s="210" t="s">
        <v>74</v>
      </c>
      <c r="C6" s="210" t="s">
        <v>72</v>
      </c>
      <c r="D6" s="246">
        <v>20066331.050000001</v>
      </c>
      <c r="E6" s="245">
        <v>44731</v>
      </c>
      <c r="F6" s="271" t="s">
        <v>264</v>
      </c>
      <c r="G6" s="263">
        <v>10000000</v>
      </c>
    </row>
    <row r="7" spans="1:7" x14ac:dyDescent="0.25">
      <c r="A7" s="245">
        <v>44772</v>
      </c>
      <c r="B7" s="210" t="s">
        <v>75</v>
      </c>
      <c r="C7" s="210" t="s">
        <v>72</v>
      </c>
      <c r="D7" s="246">
        <v>13605383.640000001</v>
      </c>
      <c r="E7" s="245">
        <v>44755</v>
      </c>
      <c r="F7" s="271" t="s">
        <v>264</v>
      </c>
      <c r="G7" s="263">
        <v>4000000</v>
      </c>
    </row>
    <row r="8" spans="1:7" x14ac:dyDescent="0.25">
      <c r="A8" s="245">
        <v>44803</v>
      </c>
      <c r="B8" s="210" t="s">
        <v>76</v>
      </c>
      <c r="C8" s="210" t="s">
        <v>72</v>
      </c>
      <c r="D8" s="246">
        <v>21495737.289999999</v>
      </c>
      <c r="E8" s="245">
        <v>44770</v>
      </c>
      <c r="F8" s="271" t="s">
        <v>264</v>
      </c>
      <c r="G8" s="263">
        <v>20000000</v>
      </c>
    </row>
    <row r="9" spans="1:7" x14ac:dyDescent="0.25">
      <c r="A9" s="245">
        <v>44834</v>
      </c>
      <c r="B9" s="210" t="s">
        <v>77</v>
      </c>
      <c r="C9" s="210" t="s">
        <v>72</v>
      </c>
      <c r="D9" s="246">
        <v>20692365.149999999</v>
      </c>
      <c r="E9" s="245">
        <v>44789</v>
      </c>
      <c r="F9" s="271" t="s">
        <v>264</v>
      </c>
      <c r="G9" s="263">
        <v>10000000</v>
      </c>
    </row>
    <row r="10" spans="1:7" x14ac:dyDescent="0.25">
      <c r="A10" s="245">
        <v>44864</v>
      </c>
      <c r="B10" s="210" t="s">
        <v>78</v>
      </c>
      <c r="C10" s="210" t="s">
        <v>72</v>
      </c>
      <c r="D10" s="246">
        <v>19613296.850000001</v>
      </c>
      <c r="E10" s="245">
        <v>44822</v>
      </c>
      <c r="F10" s="271" t="s">
        <v>264</v>
      </c>
      <c r="G10" s="263">
        <v>30000000</v>
      </c>
    </row>
    <row r="11" spans="1:7" x14ac:dyDescent="0.25">
      <c r="A11" s="245">
        <v>44895</v>
      </c>
      <c r="B11" s="210" t="s">
        <v>79</v>
      </c>
      <c r="C11" s="210" t="s">
        <v>72</v>
      </c>
      <c r="D11" s="246">
        <v>27122459.73</v>
      </c>
      <c r="E11" s="245">
        <v>44839</v>
      </c>
      <c r="F11" s="271" t="s">
        <v>264</v>
      </c>
      <c r="G11" s="263">
        <v>5000000</v>
      </c>
    </row>
    <row r="12" spans="1:7" x14ac:dyDescent="0.25">
      <c r="A12" s="245">
        <v>44926</v>
      </c>
      <c r="B12" s="210" t="s">
        <v>80</v>
      </c>
      <c r="C12" s="210" t="s">
        <v>72</v>
      </c>
      <c r="D12" s="246">
        <v>20460057.629999999</v>
      </c>
      <c r="E12" s="245">
        <v>44872</v>
      </c>
      <c r="F12" s="271" t="s">
        <v>264</v>
      </c>
      <c r="G12" s="263">
        <v>20000000</v>
      </c>
    </row>
    <row r="13" spans="1:7" x14ac:dyDescent="0.25">
      <c r="A13" s="245">
        <v>44957</v>
      </c>
      <c r="B13" s="210" t="s">
        <v>81</v>
      </c>
      <c r="C13" s="210" t="s">
        <v>72</v>
      </c>
      <c r="D13" s="246">
        <v>44608073.350000001</v>
      </c>
      <c r="E13" s="245">
        <v>44893</v>
      </c>
      <c r="F13" s="271" t="s">
        <v>264</v>
      </c>
      <c r="G13" s="263">
        <v>30000000</v>
      </c>
    </row>
    <row r="14" spans="1:7" x14ac:dyDescent="0.25">
      <c r="A14" s="245">
        <v>44985</v>
      </c>
      <c r="B14" s="210" t="s">
        <v>82</v>
      </c>
      <c r="C14" s="210" t="s">
        <v>72</v>
      </c>
      <c r="D14" s="246">
        <v>21603959.879999999</v>
      </c>
      <c r="E14" s="245">
        <v>44929</v>
      </c>
      <c r="F14" s="271" t="s">
        <v>264</v>
      </c>
      <c r="G14" s="263">
        <v>15000000</v>
      </c>
    </row>
    <row r="15" spans="1:7" x14ac:dyDescent="0.25">
      <c r="A15" s="245">
        <v>45016</v>
      </c>
      <c r="B15" s="210" t="s">
        <v>83</v>
      </c>
      <c r="C15" s="210" t="s">
        <v>72</v>
      </c>
      <c r="D15" s="246">
        <v>27415130.289999999</v>
      </c>
      <c r="E15" s="247" t="s">
        <v>263</v>
      </c>
      <c r="F15" s="271" t="s">
        <v>264</v>
      </c>
      <c r="G15" s="263">
        <v>10000000</v>
      </c>
    </row>
    <row r="16" spans="1:7" x14ac:dyDescent="0.25">
      <c r="A16" s="245">
        <v>45046</v>
      </c>
      <c r="B16" s="210" t="s">
        <v>84</v>
      </c>
      <c r="C16" s="210" t="s">
        <v>72</v>
      </c>
      <c r="D16" s="246">
        <v>16714231.039999999</v>
      </c>
      <c r="E16" s="245">
        <v>44952</v>
      </c>
      <c r="F16" s="271" t="s">
        <v>264</v>
      </c>
      <c r="G16" s="263">
        <v>10000000</v>
      </c>
    </row>
    <row r="17" spans="1:7" x14ac:dyDescent="0.25">
      <c r="A17" s="245">
        <v>45077</v>
      </c>
      <c r="B17" s="210" t="s">
        <v>85</v>
      </c>
      <c r="C17" s="210" t="s">
        <v>72</v>
      </c>
      <c r="D17" s="246">
        <v>15587736.68</v>
      </c>
      <c r="E17" s="245">
        <v>44976</v>
      </c>
      <c r="F17" s="271" t="s">
        <v>264</v>
      </c>
      <c r="G17" s="263">
        <v>25000000</v>
      </c>
    </row>
    <row r="18" spans="1:7" x14ac:dyDescent="0.25">
      <c r="A18" s="245">
        <v>45107</v>
      </c>
      <c r="B18" s="210" t="s">
        <v>86</v>
      </c>
      <c r="C18" s="210" t="s">
        <v>72</v>
      </c>
      <c r="D18" s="246">
        <v>31925473.289999999</v>
      </c>
      <c r="E18" s="245">
        <v>45007</v>
      </c>
      <c r="F18" s="271" t="s">
        <v>264</v>
      </c>
      <c r="G18" s="263">
        <v>2000000</v>
      </c>
    </row>
    <row r="19" spans="1:7" x14ac:dyDescent="0.25">
      <c r="A19" s="245">
        <v>45138</v>
      </c>
      <c r="B19" s="210" t="s">
        <v>87</v>
      </c>
      <c r="C19" s="210" t="s">
        <v>72</v>
      </c>
      <c r="D19" s="246">
        <v>9446399.3300000001</v>
      </c>
      <c r="E19" s="245">
        <v>45018</v>
      </c>
      <c r="F19" s="271" t="s">
        <v>264</v>
      </c>
      <c r="G19" s="263">
        <v>18000000</v>
      </c>
    </row>
    <row r="20" spans="1:7" x14ac:dyDescent="0.25">
      <c r="A20" s="245">
        <v>45169</v>
      </c>
      <c r="B20" s="210" t="s">
        <v>88</v>
      </c>
      <c r="C20" s="210" t="s">
        <v>72</v>
      </c>
      <c r="D20" s="246">
        <v>28320550.82</v>
      </c>
      <c r="E20" s="245">
        <v>45032</v>
      </c>
      <c r="F20" s="248" t="s">
        <v>89</v>
      </c>
      <c r="G20" s="263">
        <v>15000000</v>
      </c>
    </row>
    <row r="21" spans="1:7" x14ac:dyDescent="0.25">
      <c r="A21" s="245">
        <v>45199</v>
      </c>
      <c r="B21" s="210" t="s">
        <v>90</v>
      </c>
      <c r="C21" s="210" t="s">
        <v>72</v>
      </c>
      <c r="D21" s="209">
        <v>20684436.190000001</v>
      </c>
      <c r="E21" s="245">
        <v>45049</v>
      </c>
      <c r="F21" s="248" t="s">
        <v>91</v>
      </c>
      <c r="G21" s="263">
        <v>15000000</v>
      </c>
    </row>
    <row r="22" spans="1:7" x14ac:dyDescent="0.25">
      <c r="A22" s="245">
        <v>45230</v>
      </c>
      <c r="B22" s="210" t="s">
        <v>92</v>
      </c>
      <c r="C22" s="210" t="s">
        <v>72</v>
      </c>
      <c r="D22" s="209">
        <v>21980685.93</v>
      </c>
      <c r="E22" s="245">
        <v>45055</v>
      </c>
      <c r="F22" s="248" t="s">
        <v>93</v>
      </c>
      <c r="G22" s="263">
        <v>10000000</v>
      </c>
    </row>
    <row r="23" spans="1:7" x14ac:dyDescent="0.25">
      <c r="A23" s="245">
        <v>45260</v>
      </c>
      <c r="B23" s="210" t="s">
        <v>94</v>
      </c>
      <c r="C23" s="210" t="s">
        <v>72</v>
      </c>
      <c r="D23" s="209">
        <v>25154807.079999998</v>
      </c>
      <c r="E23" s="245">
        <v>45095</v>
      </c>
      <c r="F23" s="248" t="s">
        <v>95</v>
      </c>
      <c r="G23" s="263">
        <v>10000000</v>
      </c>
    </row>
    <row r="24" spans="1:7" x14ac:dyDescent="0.25">
      <c r="A24" s="245">
        <v>45291</v>
      </c>
      <c r="B24" s="210" t="s">
        <v>96</v>
      </c>
      <c r="C24" s="210" t="s">
        <v>72</v>
      </c>
      <c r="D24" s="209">
        <v>19770791.59</v>
      </c>
      <c r="E24" s="245">
        <v>45095</v>
      </c>
      <c r="F24" s="248" t="s">
        <v>97</v>
      </c>
      <c r="G24" s="263">
        <v>7000000</v>
      </c>
    </row>
    <row r="25" spans="1:7" x14ac:dyDescent="0.25">
      <c r="A25" s="245">
        <v>45322</v>
      </c>
      <c r="B25" s="210" t="s">
        <v>98</v>
      </c>
      <c r="C25" s="210" t="s">
        <v>72</v>
      </c>
      <c r="D25" s="209">
        <v>18243513</v>
      </c>
      <c r="E25" s="245">
        <v>45131</v>
      </c>
      <c r="F25" s="248" t="s">
        <v>99</v>
      </c>
      <c r="G25" s="263">
        <v>20000000</v>
      </c>
    </row>
    <row r="26" spans="1:7" x14ac:dyDescent="0.25">
      <c r="A26" s="245">
        <v>45351</v>
      </c>
      <c r="B26" s="210" t="s">
        <v>100</v>
      </c>
      <c r="C26" s="210" t="s">
        <v>72</v>
      </c>
      <c r="D26" s="209">
        <v>5824466.7300000004</v>
      </c>
      <c r="E26" s="245">
        <v>45141</v>
      </c>
      <c r="F26" s="248" t="s">
        <v>101</v>
      </c>
      <c r="G26" s="263">
        <v>10000000</v>
      </c>
    </row>
    <row r="27" spans="1:7" x14ac:dyDescent="0.25">
      <c r="A27" s="245">
        <v>45382</v>
      </c>
      <c r="B27" s="210" t="s">
        <v>303</v>
      </c>
      <c r="C27" s="210" t="s">
        <v>72</v>
      </c>
      <c r="D27" s="209">
        <v>4119868.67</v>
      </c>
      <c r="E27" s="245">
        <v>45195</v>
      </c>
      <c r="F27" s="248" t="s">
        <v>102</v>
      </c>
      <c r="G27" s="263">
        <v>20000000</v>
      </c>
    </row>
    <row r="28" spans="1:7" x14ac:dyDescent="0.25">
      <c r="A28" s="245">
        <v>45466</v>
      </c>
      <c r="B28" s="210" t="s">
        <v>304</v>
      </c>
      <c r="C28" s="210" t="s">
        <v>72</v>
      </c>
      <c r="D28" s="209">
        <v>7621290.3600000003</v>
      </c>
      <c r="E28" s="245">
        <v>45224</v>
      </c>
      <c r="F28" s="248" t="s">
        <v>103</v>
      </c>
      <c r="G28" s="263">
        <v>15000000</v>
      </c>
    </row>
    <row r="29" spans="1:7" ht="9.5" customHeight="1" x14ac:dyDescent="0.25">
      <c r="A29" s="210"/>
      <c r="B29" s="210" t="s">
        <v>305</v>
      </c>
      <c r="C29" s="210" t="s">
        <v>72</v>
      </c>
      <c r="D29" s="209">
        <v>6986670.5700000003</v>
      </c>
      <c r="E29" s="527"/>
      <c r="F29" s="527"/>
      <c r="G29" s="263">
        <v>0</v>
      </c>
    </row>
    <row r="30" spans="1:7" ht="9" customHeight="1" x14ac:dyDescent="0.25">
      <c r="A30" s="210"/>
      <c r="B30" s="210"/>
      <c r="C30" s="210"/>
      <c r="D30" s="209"/>
      <c r="E30" s="528"/>
      <c r="F30" s="528"/>
      <c r="G30" s="263">
        <v>0</v>
      </c>
    </row>
    <row r="31" spans="1:7" ht="10.5" customHeight="1" x14ac:dyDescent="0.25">
      <c r="A31" s="210"/>
      <c r="B31" s="210"/>
      <c r="C31" s="210" t="s">
        <v>165</v>
      </c>
      <c r="D31" s="246"/>
      <c r="E31" s="236">
        <v>45267</v>
      </c>
      <c r="F31" s="272" t="s">
        <v>105</v>
      </c>
      <c r="G31" s="264">
        <v>10000000</v>
      </c>
    </row>
    <row r="32" spans="1:7" x14ac:dyDescent="0.25">
      <c r="A32" s="210"/>
      <c r="B32" s="210"/>
      <c r="C32" s="210"/>
      <c r="D32" s="246"/>
      <c r="E32" s="236">
        <v>45279</v>
      </c>
      <c r="F32" s="272" t="s">
        <v>265</v>
      </c>
      <c r="G32" s="265">
        <v>10000000</v>
      </c>
    </row>
    <row r="33" spans="1:7" x14ac:dyDescent="0.25">
      <c r="A33" s="210"/>
      <c r="B33" s="210"/>
      <c r="C33" s="210"/>
      <c r="D33" s="246"/>
      <c r="E33" s="236">
        <v>45313</v>
      </c>
      <c r="F33" s="272" t="s">
        <v>257</v>
      </c>
      <c r="G33" s="270">
        <v>19770791.59</v>
      </c>
    </row>
    <row r="34" spans="1:7" x14ac:dyDescent="0.25">
      <c r="A34" s="210"/>
      <c r="B34" s="210"/>
      <c r="C34" s="210"/>
      <c r="D34" s="246"/>
      <c r="E34" s="236">
        <v>45342</v>
      </c>
      <c r="F34" s="272">
        <v>140572</v>
      </c>
      <c r="G34" s="266">
        <v>10000000</v>
      </c>
    </row>
    <row r="35" spans="1:7" x14ac:dyDescent="0.25">
      <c r="A35" s="210"/>
      <c r="B35" s="210"/>
      <c r="C35" s="210"/>
      <c r="D35" s="246"/>
      <c r="E35" s="236">
        <v>45375</v>
      </c>
      <c r="F35" s="272">
        <v>140586</v>
      </c>
      <c r="G35" s="264">
        <v>15000000</v>
      </c>
    </row>
    <row r="36" spans="1:7" x14ac:dyDescent="0.25">
      <c r="A36" s="210"/>
      <c r="B36" s="210"/>
      <c r="C36" s="210"/>
      <c r="D36" s="246"/>
      <c r="E36" s="261">
        <v>45432</v>
      </c>
      <c r="F36" s="273">
        <v>470429</v>
      </c>
      <c r="G36" s="267">
        <v>10000000</v>
      </c>
    </row>
    <row r="37" spans="1:7" x14ac:dyDescent="0.25">
      <c r="A37" s="210"/>
      <c r="B37" s="210"/>
      <c r="C37" s="210"/>
      <c r="D37" s="246"/>
      <c r="E37" s="236">
        <v>45445</v>
      </c>
      <c r="F37" s="272">
        <v>470442</v>
      </c>
      <c r="G37" s="268">
        <v>10000000</v>
      </c>
    </row>
    <row r="38" spans="1:7" x14ac:dyDescent="0.25">
      <c r="A38" s="210"/>
      <c r="B38" s="210"/>
      <c r="C38" s="210"/>
      <c r="D38" s="246"/>
      <c r="E38" s="236">
        <v>45484</v>
      </c>
      <c r="F38" s="272">
        <v>470487</v>
      </c>
      <c r="G38" s="268">
        <v>12000000</v>
      </c>
    </row>
    <row r="39" spans="1:7" x14ac:dyDescent="0.25">
      <c r="A39" s="210"/>
      <c r="B39" s="210"/>
      <c r="C39" s="210"/>
      <c r="D39" s="246"/>
      <c r="E39" s="236">
        <v>45613</v>
      </c>
      <c r="F39" s="272" t="s">
        <v>288</v>
      </c>
      <c r="G39" s="268">
        <v>3000000</v>
      </c>
    </row>
    <row r="40" spans="1:7" x14ac:dyDescent="0.25">
      <c r="A40" s="210"/>
      <c r="B40" s="210"/>
      <c r="C40" s="210"/>
      <c r="D40" s="246"/>
      <c r="E40" s="236">
        <v>45630</v>
      </c>
      <c r="F40" s="272"/>
      <c r="G40" s="268">
        <v>3000000</v>
      </c>
    </row>
    <row r="41" spans="1:7" x14ac:dyDescent="0.25">
      <c r="A41" s="278"/>
      <c r="B41" s="278"/>
      <c r="C41" s="278"/>
      <c r="D41" s="246"/>
      <c r="E41" s="225"/>
      <c r="F41" s="274"/>
      <c r="G41" s="269"/>
    </row>
    <row r="42" spans="1:7" ht="27" customHeight="1" x14ac:dyDescent="0.3">
      <c r="A42" s="523" t="s">
        <v>106</v>
      </c>
      <c r="B42" s="523"/>
      <c r="C42" s="523"/>
      <c r="D42" s="277">
        <f>SUM(D4:D29)</f>
        <v>489045663.19</v>
      </c>
      <c r="E42" s="524" t="s">
        <v>106</v>
      </c>
      <c r="F42" s="524"/>
      <c r="G42" s="276">
        <f>SUM(G4:G40)</f>
        <v>453770791.58999997</v>
      </c>
    </row>
    <row r="43" spans="1:7" ht="27" customHeight="1" x14ac:dyDescent="0.3">
      <c r="A43" s="522" t="s">
        <v>209</v>
      </c>
      <c r="B43" s="522"/>
      <c r="C43" s="522"/>
      <c r="D43" s="275">
        <f>D42-G42</f>
        <v>35274871.600000024</v>
      </c>
      <c r="E43" s="211"/>
    </row>
  </sheetData>
  <mergeCells count="8">
    <mergeCell ref="A43:C43"/>
    <mergeCell ref="A42:C42"/>
    <mergeCell ref="E42:F42"/>
    <mergeCell ref="C1:F1"/>
    <mergeCell ref="A2:D2"/>
    <mergeCell ref="E2:G2"/>
    <mergeCell ref="E29:F29"/>
    <mergeCell ref="E30:F30"/>
  </mergeCells>
  <phoneticPr fontId="15" type="noConversion"/>
  <pageMargins left="0.25" right="0.25" top="0.75" bottom="0.75" header="0.3" footer="0.3"/>
  <pageSetup paperSize="9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topLeftCell="A4" zoomScale="70" zoomScaleNormal="70" zoomScaleSheetLayoutView="96" workbookViewId="0">
      <selection activeCell="C34" sqref="C34"/>
    </sheetView>
  </sheetViews>
  <sheetFormatPr baseColWidth="10" defaultColWidth="12.69921875" defaultRowHeight="10.5" x14ac:dyDescent="0.25"/>
  <cols>
    <col min="1" max="1" width="13.59765625" style="207" customWidth="1"/>
    <col min="2" max="2" width="15.59765625" style="207" customWidth="1"/>
    <col min="3" max="3" width="31.19921875" style="207" customWidth="1"/>
    <col min="4" max="4" width="23.5" style="207" customWidth="1"/>
    <col min="5" max="5" width="21.296875" style="207" customWidth="1"/>
    <col min="6" max="6" width="18.296875" style="212" customWidth="1"/>
    <col min="7" max="7" width="24" style="207" customWidth="1"/>
    <col min="8" max="16384" width="12.69921875" style="207"/>
  </cols>
  <sheetData>
    <row r="1" spans="1:7" ht="25" customHeight="1" x14ac:dyDescent="0.3">
      <c r="C1" s="525" t="s">
        <v>289</v>
      </c>
      <c r="D1" s="525"/>
      <c r="E1" s="525"/>
      <c r="F1" s="525"/>
    </row>
    <row r="2" spans="1:7" ht="19" customHeight="1" x14ac:dyDescent="0.25">
      <c r="A2" s="526" t="s">
        <v>4</v>
      </c>
      <c r="B2" s="526"/>
      <c r="C2" s="526"/>
      <c r="D2" s="526"/>
      <c r="E2" s="526" t="s">
        <v>5</v>
      </c>
      <c r="F2" s="526"/>
      <c r="G2" s="526"/>
    </row>
    <row r="3" spans="1:7" ht="22.5" customHeight="1" x14ac:dyDescent="0.25">
      <c r="A3" s="223" t="s">
        <v>6</v>
      </c>
      <c r="B3" s="223" t="s">
        <v>7</v>
      </c>
      <c r="C3" s="223" t="s">
        <v>8</v>
      </c>
      <c r="D3" s="223" t="s">
        <v>9</v>
      </c>
      <c r="E3" s="223" t="s">
        <v>6</v>
      </c>
      <c r="F3" s="223"/>
      <c r="G3" s="223" t="s">
        <v>9</v>
      </c>
    </row>
    <row r="4" spans="1:7" ht="19" customHeight="1" x14ac:dyDescent="0.25">
      <c r="A4" s="233">
        <v>44650</v>
      </c>
      <c r="B4" s="234"/>
      <c r="C4" s="234" t="s">
        <v>298</v>
      </c>
      <c r="D4" s="235">
        <v>6233430.5</v>
      </c>
      <c r="E4" s="530" t="s">
        <v>104</v>
      </c>
      <c r="F4" s="530"/>
      <c r="G4" s="235">
        <v>10000000</v>
      </c>
    </row>
    <row r="5" spans="1:7" ht="20.5" customHeight="1" x14ac:dyDescent="0.25">
      <c r="A5" s="233">
        <v>45520</v>
      </c>
      <c r="B5" s="234" t="s">
        <v>71</v>
      </c>
      <c r="C5" s="234" t="s">
        <v>290</v>
      </c>
      <c r="D5" s="235">
        <v>21218556.809999999</v>
      </c>
      <c r="E5" s="530" t="s">
        <v>104</v>
      </c>
      <c r="F5" s="530"/>
      <c r="G5" s="235">
        <v>5000000</v>
      </c>
    </row>
    <row r="6" spans="1:7" ht="24" customHeight="1" x14ac:dyDescent="0.25">
      <c r="A6" s="233">
        <v>44821</v>
      </c>
      <c r="B6" s="234" t="s">
        <v>73</v>
      </c>
      <c r="C6" s="234" t="s">
        <v>291</v>
      </c>
      <c r="D6" s="235">
        <v>5493979.2000000002</v>
      </c>
      <c r="E6" s="233">
        <v>45631</v>
      </c>
      <c r="F6" s="236"/>
      <c r="G6" s="235">
        <v>2000000</v>
      </c>
    </row>
    <row r="7" spans="1:7" ht="19.5" customHeight="1" x14ac:dyDescent="0.25">
      <c r="A7" s="233"/>
      <c r="B7" s="234"/>
      <c r="C7" s="234"/>
      <c r="D7" s="235"/>
      <c r="E7" s="233"/>
      <c r="F7" s="236"/>
      <c r="G7" s="235"/>
    </row>
    <row r="8" spans="1:7" ht="18" customHeight="1" x14ac:dyDescent="0.25">
      <c r="A8" s="233"/>
      <c r="B8" s="240"/>
      <c r="C8" s="242" t="s">
        <v>106</v>
      </c>
      <c r="D8" s="243">
        <f>SUM(D4:D7)</f>
        <v>32945966.509999998</v>
      </c>
      <c r="E8" s="241"/>
      <c r="F8" s="236"/>
      <c r="G8" s="243">
        <f>SUM(G4:G7)</f>
        <v>17000000</v>
      </c>
    </row>
    <row r="9" spans="1:7" ht="22" customHeight="1" x14ac:dyDescent="0.25">
      <c r="A9" s="224"/>
      <c r="B9" s="211"/>
      <c r="C9" s="242" t="s">
        <v>293</v>
      </c>
      <c r="D9" s="243">
        <f>D8-G8</f>
        <v>15945966.509999998</v>
      </c>
      <c r="E9" s="224"/>
      <c r="F9" s="225"/>
      <c r="G9" s="226"/>
    </row>
    <row r="10" spans="1:7" x14ac:dyDescent="0.25">
      <c r="A10" s="224"/>
      <c r="B10" s="211"/>
      <c r="C10" s="211"/>
      <c r="D10" s="226"/>
      <c r="E10" s="224"/>
      <c r="F10" s="225"/>
      <c r="G10" s="226"/>
    </row>
    <row r="11" spans="1:7" x14ac:dyDescent="0.25">
      <c r="A11" s="224"/>
      <c r="B11" s="211"/>
      <c r="C11" s="211"/>
      <c r="D11" s="226"/>
      <c r="E11" s="224"/>
      <c r="F11" s="225"/>
      <c r="G11" s="226"/>
    </row>
    <row r="12" spans="1:7" x14ac:dyDescent="0.25">
      <c r="A12" s="224"/>
      <c r="B12" s="211"/>
      <c r="C12" s="211"/>
      <c r="D12" s="226"/>
      <c r="E12" s="224"/>
      <c r="F12" s="225"/>
      <c r="G12" s="226"/>
    </row>
    <row r="13" spans="1:7" ht="13" customHeight="1" x14ac:dyDescent="0.25">
      <c r="A13" s="224"/>
      <c r="B13" s="211"/>
      <c r="C13" s="211"/>
      <c r="D13" s="226"/>
      <c r="E13" s="224"/>
      <c r="F13" s="225"/>
      <c r="G13" s="226"/>
    </row>
    <row r="14" spans="1:7" ht="10.5" customHeight="1" x14ac:dyDescent="0.25">
      <c r="A14" s="224"/>
      <c r="B14" s="211"/>
      <c r="C14" s="211"/>
      <c r="D14" s="226"/>
      <c r="E14" s="224"/>
      <c r="F14" s="225"/>
      <c r="G14" s="226"/>
    </row>
    <row r="15" spans="1:7" ht="10.5" customHeight="1" x14ac:dyDescent="0.25">
      <c r="A15" s="224"/>
      <c r="B15" s="211"/>
      <c r="C15" s="211"/>
      <c r="D15" s="226"/>
      <c r="E15" s="227"/>
      <c r="F15" s="225"/>
      <c r="G15" s="226"/>
    </row>
    <row r="16" spans="1:7" x14ac:dyDescent="0.25">
      <c r="A16" s="224"/>
      <c r="B16" s="211"/>
      <c r="C16" s="211"/>
      <c r="D16" s="226"/>
      <c r="E16" s="224"/>
      <c r="F16" s="225"/>
      <c r="G16" s="226"/>
    </row>
    <row r="17" spans="1:7" x14ac:dyDescent="0.25">
      <c r="A17" s="224"/>
      <c r="B17" s="211"/>
      <c r="C17" s="211"/>
      <c r="D17" s="226"/>
      <c r="E17" s="224"/>
      <c r="F17" s="225"/>
      <c r="G17" s="226"/>
    </row>
    <row r="18" spans="1:7" x14ac:dyDescent="0.25">
      <c r="A18" s="224"/>
      <c r="B18" s="211"/>
      <c r="C18" s="211"/>
      <c r="D18" s="226"/>
      <c r="E18" s="224"/>
      <c r="F18" s="225"/>
      <c r="G18" s="226"/>
    </row>
    <row r="19" spans="1:7" x14ac:dyDescent="0.25">
      <c r="A19" s="224"/>
      <c r="B19" s="211"/>
      <c r="C19" s="211"/>
      <c r="D19" s="226"/>
      <c r="E19" s="224"/>
      <c r="F19" s="225"/>
      <c r="G19" s="226"/>
    </row>
    <row r="20" spans="1:7" x14ac:dyDescent="0.25">
      <c r="A20" s="224"/>
      <c r="B20" s="211"/>
      <c r="C20" s="211"/>
      <c r="D20" s="226"/>
      <c r="E20" s="224"/>
      <c r="F20" s="228"/>
      <c r="G20" s="226"/>
    </row>
    <row r="21" spans="1:7" x14ac:dyDescent="0.25">
      <c r="A21" s="224"/>
      <c r="B21" s="211"/>
      <c r="C21" s="211"/>
      <c r="D21" s="226"/>
      <c r="E21" s="224"/>
      <c r="F21" s="228"/>
      <c r="G21" s="226"/>
    </row>
    <row r="22" spans="1:7" x14ac:dyDescent="0.25">
      <c r="A22" s="224"/>
      <c r="B22" s="211"/>
      <c r="C22" s="211"/>
      <c r="D22" s="226"/>
      <c r="E22" s="224"/>
      <c r="F22" s="228"/>
      <c r="G22" s="226"/>
    </row>
    <row r="23" spans="1:7" x14ac:dyDescent="0.25">
      <c r="A23" s="224"/>
      <c r="B23" s="211"/>
      <c r="C23" s="211"/>
      <c r="D23" s="226"/>
      <c r="E23" s="224"/>
      <c r="F23" s="228"/>
      <c r="G23" s="226"/>
    </row>
    <row r="24" spans="1:7" x14ac:dyDescent="0.25">
      <c r="A24" s="224"/>
      <c r="B24" s="211"/>
      <c r="C24" s="211"/>
      <c r="D24" s="226"/>
      <c r="E24" s="224"/>
      <c r="F24" s="228"/>
      <c r="G24" s="226"/>
    </row>
    <row r="25" spans="1:7" x14ac:dyDescent="0.25">
      <c r="A25" s="224"/>
      <c r="B25" s="211"/>
      <c r="C25" s="211"/>
      <c r="D25" s="226"/>
      <c r="E25" s="224"/>
      <c r="F25" s="228"/>
      <c r="G25" s="226"/>
    </row>
    <row r="26" spans="1:7" x14ac:dyDescent="0.25">
      <c r="A26" s="224"/>
      <c r="B26" s="211"/>
      <c r="C26" s="211"/>
      <c r="D26" s="226"/>
      <c r="E26" s="224"/>
      <c r="F26" s="228"/>
      <c r="G26" s="226"/>
    </row>
    <row r="27" spans="1:7" x14ac:dyDescent="0.25">
      <c r="A27" s="224"/>
      <c r="B27" s="211"/>
      <c r="C27" s="211"/>
      <c r="D27" s="226"/>
      <c r="E27" s="224"/>
      <c r="F27" s="228"/>
      <c r="G27" s="226"/>
    </row>
    <row r="28" spans="1:7" x14ac:dyDescent="0.25">
      <c r="A28" s="224"/>
      <c r="B28" s="211"/>
      <c r="C28" s="211"/>
      <c r="D28" s="226"/>
      <c r="E28" s="224"/>
      <c r="F28" s="228"/>
      <c r="G28" s="226"/>
    </row>
    <row r="29" spans="1:7" ht="9.5" customHeight="1" x14ac:dyDescent="0.25">
      <c r="A29" s="211"/>
      <c r="B29" s="211"/>
      <c r="C29" s="211"/>
      <c r="D29" s="226"/>
    </row>
    <row r="30" spans="1:7" ht="9" customHeight="1" x14ac:dyDescent="0.25">
      <c r="A30" s="211"/>
      <c r="B30" s="211"/>
      <c r="C30" s="211"/>
      <c r="D30" s="226"/>
    </row>
    <row r="31" spans="1:7" ht="10.5" customHeight="1" x14ac:dyDescent="0.25">
      <c r="A31" s="211"/>
      <c r="B31" s="211"/>
      <c r="C31" s="211" t="s">
        <v>165</v>
      </c>
      <c r="D31" s="226"/>
      <c r="E31" s="225"/>
      <c r="F31" s="230"/>
      <c r="G31" s="226"/>
    </row>
    <row r="32" spans="1:7" x14ac:dyDescent="0.25">
      <c r="A32" s="211"/>
      <c r="B32" s="211"/>
      <c r="C32" s="211"/>
      <c r="D32" s="226"/>
      <c r="E32" s="225"/>
      <c r="F32" s="230"/>
      <c r="G32" s="226"/>
    </row>
    <row r="33" spans="1:7" x14ac:dyDescent="0.25">
      <c r="A33" s="211"/>
      <c r="B33" s="211"/>
      <c r="C33" s="211"/>
      <c r="D33" s="226"/>
      <c r="E33" s="225"/>
      <c r="F33" s="230"/>
      <c r="G33" s="231"/>
    </row>
    <row r="34" spans="1:7" x14ac:dyDescent="0.25">
      <c r="A34" s="211"/>
      <c r="B34" s="211"/>
      <c r="C34" s="211"/>
      <c r="D34" s="226"/>
      <c r="E34" s="225"/>
      <c r="F34" s="230"/>
      <c r="G34" s="226"/>
    </row>
    <row r="35" spans="1:7" x14ac:dyDescent="0.25">
      <c r="A35" s="211"/>
      <c r="B35" s="211"/>
      <c r="C35" s="211"/>
      <c r="D35" s="226"/>
      <c r="E35" s="225"/>
      <c r="F35" s="230"/>
      <c r="G35" s="226"/>
    </row>
    <row r="36" spans="1:7" x14ac:dyDescent="0.25">
      <c r="A36" s="211"/>
      <c r="B36" s="211"/>
      <c r="C36" s="211"/>
      <c r="D36" s="226"/>
      <c r="E36" s="225"/>
      <c r="F36" s="230"/>
      <c r="G36" s="232"/>
    </row>
    <row r="37" spans="1:7" x14ac:dyDescent="0.25">
      <c r="A37" s="211"/>
      <c r="B37" s="211"/>
      <c r="C37" s="211"/>
      <c r="D37" s="226"/>
      <c r="E37" s="225"/>
      <c r="F37" s="230"/>
      <c r="G37" s="232"/>
    </row>
    <row r="38" spans="1:7" x14ac:dyDescent="0.25">
      <c r="A38" s="211"/>
      <c r="B38" s="211"/>
      <c r="C38" s="211"/>
      <c r="D38" s="226"/>
      <c r="E38" s="225"/>
      <c r="F38" s="230"/>
      <c r="G38" s="232"/>
    </row>
    <row r="39" spans="1:7" x14ac:dyDescent="0.25">
      <c r="A39" s="211"/>
      <c r="B39" s="211"/>
      <c r="C39" s="211"/>
      <c r="D39" s="226"/>
      <c r="E39" s="225"/>
      <c r="F39" s="230"/>
      <c r="G39" s="232"/>
    </row>
    <row r="40" spans="1:7" ht="27" customHeight="1" x14ac:dyDescent="0.3">
      <c r="A40" s="529"/>
      <c r="B40" s="529"/>
      <c r="C40" s="529"/>
      <c r="D40" s="229"/>
      <c r="E40" s="529"/>
      <c r="F40" s="529"/>
      <c r="G40" s="229"/>
    </row>
    <row r="41" spans="1:7" ht="14.5" customHeight="1" x14ac:dyDescent="0.3">
      <c r="A41" s="211"/>
      <c r="B41" s="211"/>
      <c r="C41" s="211"/>
      <c r="D41" s="222"/>
      <c r="E41" s="211"/>
      <c r="G41" s="211"/>
    </row>
  </sheetData>
  <mergeCells count="7">
    <mergeCell ref="A40:C40"/>
    <mergeCell ref="E40:F40"/>
    <mergeCell ref="C1:F1"/>
    <mergeCell ref="A2:D2"/>
    <mergeCell ref="E2:G2"/>
    <mergeCell ref="E4:F4"/>
    <mergeCell ref="E5:F5"/>
  </mergeCells>
  <pageMargins left="0.7" right="0.7" top="0.75" bottom="0.75" header="0.3" footer="0.3"/>
  <pageSetup paperSize="9" scale="9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9"/>
  <sheetViews>
    <sheetView zoomScale="44" zoomScaleNormal="73" zoomScalePageLayoutView="70" workbookViewId="0">
      <selection activeCell="A7" sqref="A7:N15"/>
    </sheetView>
  </sheetViews>
  <sheetFormatPr baseColWidth="10" defaultRowHeight="13" x14ac:dyDescent="0.3"/>
  <cols>
    <col min="2" max="2" width="15.19921875" customWidth="1"/>
    <col min="3" max="3" width="19.69921875" customWidth="1"/>
    <col min="4" max="5" width="16.3984375" customWidth="1"/>
    <col min="6" max="6" width="13.796875" style="1" customWidth="1"/>
    <col min="7" max="8" width="17.09765625" style="1" customWidth="1"/>
    <col min="9" max="9" width="14.8984375" style="1" customWidth="1"/>
    <col min="10" max="11" width="14.8984375" customWidth="1"/>
    <col min="12" max="12" width="14.8984375" style="48" customWidth="1"/>
    <col min="13" max="13" width="18.09765625" style="1" customWidth="1"/>
    <col min="14" max="14" width="16" customWidth="1"/>
  </cols>
  <sheetData>
    <row r="1" spans="1:14" x14ac:dyDescent="0.3">
      <c r="A1" s="543" t="s">
        <v>17</v>
      </c>
      <c r="B1" s="543"/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</row>
    <row r="2" spans="1:14" x14ac:dyDescent="0.3">
      <c r="A2" s="543"/>
      <c r="B2" s="543"/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</row>
    <row r="3" spans="1:14" ht="23" customHeight="1" x14ac:dyDescent="0.3">
      <c r="A3" s="3"/>
      <c r="B3" s="3"/>
      <c r="C3" s="544" t="s">
        <v>50</v>
      </c>
      <c r="D3" s="544"/>
      <c r="E3" s="544"/>
      <c r="F3" s="544"/>
      <c r="G3" s="544"/>
      <c r="H3" s="544"/>
      <c r="I3" s="544"/>
      <c r="J3" s="544"/>
      <c r="K3" s="544"/>
      <c r="L3" s="544"/>
      <c r="M3" s="544"/>
      <c r="N3" s="544"/>
    </row>
    <row r="4" spans="1:14" ht="25.5" customHeight="1" x14ac:dyDescent="0.3">
      <c r="A4" s="3"/>
      <c r="B4" s="3"/>
      <c r="C4" s="12" t="s">
        <v>49</v>
      </c>
      <c r="D4" s="12"/>
      <c r="E4" s="191"/>
      <c r="F4" s="22"/>
      <c r="G4" s="69"/>
      <c r="H4" s="21"/>
      <c r="I4" s="21"/>
      <c r="J4" s="4"/>
      <c r="K4" s="4"/>
      <c r="L4" s="47"/>
      <c r="M4" s="21"/>
      <c r="N4" s="4"/>
    </row>
    <row r="6" spans="1:14" ht="33" customHeight="1" x14ac:dyDescent="0.3">
      <c r="F6" s="71"/>
      <c r="G6" s="71"/>
      <c r="H6" s="71"/>
      <c r="I6" s="71"/>
      <c r="L6" s="72"/>
      <c r="M6" s="71"/>
      <c r="N6" s="71"/>
    </row>
    <row r="7" spans="1:14" ht="58.5" customHeight="1" x14ac:dyDescent="0.3">
      <c r="A7" s="6"/>
      <c r="B7" s="13" t="s">
        <v>43</v>
      </c>
      <c r="C7" s="13" t="s">
        <v>23</v>
      </c>
      <c r="D7" s="13" t="s">
        <v>28</v>
      </c>
      <c r="E7" s="13" t="s">
        <v>271</v>
      </c>
      <c r="F7" s="293" t="s">
        <v>26</v>
      </c>
      <c r="G7" s="293" t="s">
        <v>40</v>
      </c>
      <c r="H7" s="293" t="s">
        <v>51</v>
      </c>
      <c r="I7" s="294" t="s">
        <v>42</v>
      </c>
      <c r="J7" s="293" t="s">
        <v>44</v>
      </c>
      <c r="K7" s="293" t="s">
        <v>27</v>
      </c>
      <c r="L7" s="295" t="s">
        <v>39</v>
      </c>
      <c r="M7" s="296" t="s">
        <v>16</v>
      </c>
      <c r="N7" s="296" t="s">
        <v>275</v>
      </c>
    </row>
    <row r="8" spans="1:14" ht="46" customHeight="1" x14ac:dyDescent="0.3">
      <c r="A8" s="533" t="s">
        <v>266</v>
      </c>
      <c r="B8" s="516">
        <v>9505999</v>
      </c>
      <c r="C8" s="96" t="s">
        <v>24</v>
      </c>
      <c r="D8" s="97">
        <v>2046113.83</v>
      </c>
      <c r="E8" s="542">
        <f>D8+D9+D11+D14</f>
        <v>8688190.8599999994</v>
      </c>
      <c r="F8" s="98" t="s">
        <v>184</v>
      </c>
      <c r="G8" s="92">
        <v>2046113.83</v>
      </c>
      <c r="H8" s="92">
        <v>2046113.83</v>
      </c>
      <c r="I8" s="99">
        <v>0</v>
      </c>
      <c r="J8" s="100">
        <v>45224</v>
      </c>
      <c r="K8" s="101" t="s">
        <v>38</v>
      </c>
      <c r="L8" s="102" t="s">
        <v>185</v>
      </c>
      <c r="M8" s="504">
        <f>H8+H11+H14+H9</f>
        <v>8687480.5700000003</v>
      </c>
      <c r="N8" s="492">
        <f>E8-M8</f>
        <v>710.28999999910593</v>
      </c>
    </row>
    <row r="9" spans="1:14" ht="29" customHeight="1" x14ac:dyDescent="0.3">
      <c r="A9" s="533"/>
      <c r="B9" s="516"/>
      <c r="C9" s="535" t="s">
        <v>35</v>
      </c>
      <c r="D9" s="545">
        <v>3053318.79</v>
      </c>
      <c r="E9" s="542"/>
      <c r="F9" s="547" t="s">
        <v>183</v>
      </c>
      <c r="G9" s="549">
        <v>3053318.79</v>
      </c>
      <c r="H9" s="549">
        <v>3053318.79</v>
      </c>
      <c r="I9" s="550">
        <v>0</v>
      </c>
      <c r="J9" s="551">
        <v>45298</v>
      </c>
      <c r="K9" s="552" t="s">
        <v>55</v>
      </c>
      <c r="L9" s="554" t="s">
        <v>267</v>
      </c>
      <c r="M9" s="504"/>
      <c r="N9" s="492"/>
    </row>
    <row r="10" spans="1:14" ht="52.5" customHeight="1" x14ac:dyDescent="0.3">
      <c r="A10" s="533"/>
      <c r="B10" s="516"/>
      <c r="C10" s="537"/>
      <c r="D10" s="546"/>
      <c r="E10" s="542"/>
      <c r="F10" s="548"/>
      <c r="G10" s="549"/>
      <c r="H10" s="549"/>
      <c r="I10" s="550"/>
      <c r="J10" s="541"/>
      <c r="K10" s="553"/>
      <c r="L10" s="555"/>
      <c r="M10" s="504"/>
      <c r="N10" s="492"/>
    </row>
    <row r="11" spans="1:14" ht="31" customHeight="1" x14ac:dyDescent="0.3">
      <c r="A11" s="533"/>
      <c r="B11" s="516"/>
      <c r="C11" s="535" t="s">
        <v>36</v>
      </c>
      <c r="D11" s="531">
        <v>2892047.95</v>
      </c>
      <c r="E11" s="542"/>
      <c r="F11" s="539">
        <v>45370</v>
      </c>
      <c r="G11" s="176">
        <v>1500000</v>
      </c>
      <c r="H11" s="534">
        <f>G11+G12+G13</f>
        <v>2892047.95</v>
      </c>
      <c r="I11" s="534">
        <f>D11-H11</f>
        <v>0</v>
      </c>
      <c r="J11" s="177">
        <v>45396</v>
      </c>
      <c r="K11" s="178" t="s">
        <v>38</v>
      </c>
      <c r="L11" s="179" t="s">
        <v>186</v>
      </c>
      <c r="M11" s="504"/>
      <c r="N11" s="492"/>
    </row>
    <row r="12" spans="1:14" ht="24" customHeight="1" x14ac:dyDescent="0.3">
      <c r="A12" s="533"/>
      <c r="B12" s="516"/>
      <c r="C12" s="536"/>
      <c r="D12" s="538"/>
      <c r="E12" s="542"/>
      <c r="F12" s="534"/>
      <c r="G12" s="180">
        <v>800000</v>
      </c>
      <c r="H12" s="534"/>
      <c r="I12" s="534"/>
      <c r="J12" s="177">
        <v>45432</v>
      </c>
      <c r="K12" s="178" t="s">
        <v>38</v>
      </c>
      <c r="L12" s="181" t="s">
        <v>187</v>
      </c>
      <c r="M12" s="504"/>
      <c r="N12" s="492"/>
    </row>
    <row r="13" spans="1:14" ht="34.75" customHeight="1" x14ac:dyDescent="0.3">
      <c r="A13" s="533"/>
      <c r="B13" s="516"/>
      <c r="C13" s="537"/>
      <c r="D13" s="532"/>
      <c r="E13" s="542"/>
      <c r="F13" s="531"/>
      <c r="G13" s="182">
        <v>592047.94999999995</v>
      </c>
      <c r="H13" s="531"/>
      <c r="I13" s="531"/>
      <c r="J13" s="183">
        <v>45467</v>
      </c>
      <c r="K13" s="178" t="s">
        <v>38</v>
      </c>
      <c r="L13" s="184" t="s">
        <v>188</v>
      </c>
      <c r="M13" s="504"/>
      <c r="N13" s="492"/>
    </row>
    <row r="14" spans="1:14" ht="41.4" customHeight="1" x14ac:dyDescent="0.3">
      <c r="A14" s="533"/>
      <c r="B14" s="516"/>
      <c r="C14" s="540" t="s">
        <v>37</v>
      </c>
      <c r="D14" s="531">
        <v>696710.29</v>
      </c>
      <c r="E14" s="542"/>
      <c r="F14" s="297">
        <v>45487</v>
      </c>
      <c r="G14" s="182">
        <v>300000</v>
      </c>
      <c r="H14" s="531">
        <f>G14+G15</f>
        <v>696000</v>
      </c>
      <c r="I14" s="302">
        <f>D14-H14</f>
        <v>710.29000000003725</v>
      </c>
      <c r="J14" s="297">
        <v>45565</v>
      </c>
      <c r="K14" s="182" t="s">
        <v>18</v>
      </c>
      <c r="L14" s="182"/>
      <c r="M14" s="504"/>
      <c r="N14" s="492"/>
    </row>
    <row r="15" spans="1:14" ht="26.5" customHeight="1" x14ac:dyDescent="0.3">
      <c r="A15" s="533"/>
      <c r="B15" s="516"/>
      <c r="C15" s="541"/>
      <c r="D15" s="532"/>
      <c r="E15" s="542"/>
      <c r="F15" s="297">
        <v>45627</v>
      </c>
      <c r="G15" s="180">
        <v>396000</v>
      </c>
      <c r="H15" s="532"/>
      <c r="I15" s="303"/>
      <c r="J15" s="298"/>
      <c r="K15" s="182" t="s">
        <v>18</v>
      </c>
      <c r="L15" s="299"/>
      <c r="M15" s="504"/>
      <c r="N15" s="492"/>
    </row>
    <row r="16" spans="1:14" ht="30" customHeight="1" x14ac:dyDescent="0.3">
      <c r="C16" s="49"/>
      <c r="D16" s="49"/>
      <c r="E16" s="49"/>
      <c r="F16" s="70"/>
    </row>
    <row r="17" spans="6:12" x14ac:dyDescent="0.3">
      <c r="F17" s="70"/>
    </row>
    <row r="19" spans="6:12" x14ac:dyDescent="0.3">
      <c r="L19" s="304"/>
    </row>
  </sheetData>
  <mergeCells count="24">
    <mergeCell ref="A1:N2"/>
    <mergeCell ref="C3:N3"/>
    <mergeCell ref="D9:D10"/>
    <mergeCell ref="F9:F10"/>
    <mergeCell ref="G9:G10"/>
    <mergeCell ref="H9:H10"/>
    <mergeCell ref="I9:I10"/>
    <mergeCell ref="J9:J10"/>
    <mergeCell ref="K9:K10"/>
    <mergeCell ref="L9:L10"/>
    <mergeCell ref="M8:M15"/>
    <mergeCell ref="N8:N15"/>
    <mergeCell ref="H14:H15"/>
    <mergeCell ref="A8:A15"/>
    <mergeCell ref="B8:B15"/>
    <mergeCell ref="I11:I13"/>
    <mergeCell ref="C11:C13"/>
    <mergeCell ref="D11:D13"/>
    <mergeCell ref="F11:F13"/>
    <mergeCell ref="H11:H13"/>
    <mergeCell ref="D14:D15"/>
    <mergeCell ref="C14:C15"/>
    <mergeCell ref="E8:E15"/>
    <mergeCell ref="C9:C10"/>
  </mergeCells>
  <phoneticPr fontId="15" type="noConversion"/>
  <pageMargins left="0.25" right="0.25" top="0.75" bottom="0.75" header="0.3" footer="0.3"/>
  <pageSetup paperSize="9" scale="72" fitToHeight="0" orientation="landscape" horizontalDpi="300" verticalDpi="300" r:id="rId1"/>
  <colBreaks count="2" manualBreakCount="2">
    <brk id="11" max="1048575" man="1"/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ED03-8A8C-49F3-922F-8EAC4FFE9EA6}">
  <sheetPr>
    <pageSetUpPr fitToPage="1"/>
  </sheetPr>
  <dimension ref="A3:M8"/>
  <sheetViews>
    <sheetView view="pageBreakPreview" zoomScale="60" zoomScaleNormal="100" workbookViewId="0">
      <selection activeCell="B12" sqref="B12"/>
    </sheetView>
  </sheetViews>
  <sheetFormatPr baseColWidth="10" defaultRowHeight="13" x14ac:dyDescent="0.3"/>
  <cols>
    <col min="4" max="4" width="12.69921875" customWidth="1"/>
  </cols>
  <sheetData>
    <row r="3" spans="1:13" x14ac:dyDescent="0.3">
      <c r="A3" s="3"/>
      <c r="B3" s="3"/>
      <c r="C3" s="544" t="s">
        <v>371</v>
      </c>
      <c r="D3" s="544"/>
      <c r="E3" s="544"/>
      <c r="F3" s="544"/>
      <c r="G3" s="544"/>
      <c r="H3" s="544"/>
      <c r="I3" s="544"/>
      <c r="J3" s="544"/>
      <c r="K3" s="544"/>
      <c r="L3" s="544"/>
      <c r="M3" s="544"/>
    </row>
    <row r="4" spans="1:13" x14ac:dyDescent="0.3">
      <c r="A4" s="3"/>
      <c r="B4" s="3"/>
      <c r="C4" s="12" t="s">
        <v>372</v>
      </c>
      <c r="D4" s="12"/>
      <c r="E4" s="191"/>
      <c r="F4" s="22"/>
      <c r="G4" s="69"/>
      <c r="H4" s="21"/>
      <c r="I4" s="21"/>
      <c r="J4" s="4"/>
      <c r="K4" s="4"/>
      <c r="L4" s="47"/>
      <c r="M4" s="4"/>
    </row>
    <row r="5" spans="1:13" x14ac:dyDescent="0.3">
      <c r="F5" s="1"/>
      <c r="G5" s="1"/>
      <c r="H5" s="1"/>
      <c r="I5" s="1"/>
      <c r="L5" s="48"/>
    </row>
    <row r="6" spans="1:13" x14ac:dyDescent="0.3">
      <c r="F6" s="71"/>
      <c r="G6" s="71"/>
      <c r="H6" s="71"/>
      <c r="I6" s="71"/>
      <c r="L6" s="72"/>
      <c r="M6" s="71"/>
    </row>
    <row r="7" spans="1:13" ht="51" customHeight="1" x14ac:dyDescent="0.3">
      <c r="A7" s="6"/>
      <c r="B7" s="13" t="s">
        <v>43</v>
      </c>
      <c r="C7" s="13" t="s">
        <v>23</v>
      </c>
      <c r="D7" s="13" t="s">
        <v>28</v>
      </c>
      <c r="E7" s="13" t="s">
        <v>271</v>
      </c>
      <c r="F7" s="293" t="s">
        <v>26</v>
      </c>
      <c r="G7" s="293" t="s">
        <v>40</v>
      </c>
      <c r="H7" s="293" t="s">
        <v>51</v>
      </c>
      <c r="I7" s="294" t="s">
        <v>42</v>
      </c>
      <c r="J7" s="293" t="s">
        <v>44</v>
      </c>
      <c r="K7" s="293" t="s">
        <v>27</v>
      </c>
      <c r="L7" s="295" t="s">
        <v>39</v>
      </c>
      <c r="M7" s="296" t="s">
        <v>275</v>
      </c>
    </row>
    <row r="8" spans="1:13" ht="140" customHeight="1" x14ac:dyDescent="0.3">
      <c r="A8" s="300" t="s">
        <v>373</v>
      </c>
      <c r="B8" s="251">
        <v>6480000</v>
      </c>
      <c r="C8" s="396" t="s">
        <v>374</v>
      </c>
      <c r="D8" s="250">
        <v>2046113.83</v>
      </c>
      <c r="E8" s="250"/>
      <c r="F8" s="98" t="s">
        <v>375</v>
      </c>
      <c r="G8" s="250">
        <v>2000000</v>
      </c>
      <c r="H8" s="250">
        <v>2000000</v>
      </c>
      <c r="I8" s="96">
        <v>0</v>
      </c>
      <c r="J8" s="98">
        <v>45670</v>
      </c>
      <c r="K8" s="397" t="s">
        <v>376</v>
      </c>
      <c r="L8" s="398"/>
      <c r="M8" s="305"/>
    </row>
  </sheetData>
  <mergeCells count="1">
    <mergeCell ref="C3:M3"/>
  </mergeCells>
  <pageMargins left="0.7" right="0.7" top="0.75" bottom="0.75" header="0.3" footer="0.3"/>
  <pageSetup paperSize="9" scale="99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0"/>
  <sheetViews>
    <sheetView zoomScale="40" zoomScaleNormal="100" zoomScaleSheetLayoutView="90" workbookViewId="0">
      <selection activeCell="K17" sqref="K17"/>
    </sheetView>
  </sheetViews>
  <sheetFormatPr baseColWidth="10" defaultRowHeight="13" x14ac:dyDescent="0.3"/>
  <cols>
    <col min="2" max="2" width="15.19921875" customWidth="1"/>
    <col min="3" max="3" width="15.296875" customWidth="1"/>
    <col min="4" max="4" width="16.3984375" customWidth="1"/>
    <col min="5" max="5" width="13.796875" style="1" customWidth="1"/>
    <col min="6" max="6" width="14.8984375" style="1" customWidth="1"/>
    <col min="7" max="9" width="14.8984375" customWidth="1"/>
    <col min="10" max="10" width="14.69921875" style="1" customWidth="1"/>
    <col min="11" max="11" width="16" customWidth="1"/>
    <col min="13" max="13" width="17.59765625" customWidth="1"/>
    <col min="14" max="14" width="18" customWidth="1"/>
  </cols>
  <sheetData>
    <row r="1" spans="1:14" x14ac:dyDescent="0.3">
      <c r="A1" s="543" t="s">
        <v>17</v>
      </c>
      <c r="B1" s="543"/>
      <c r="C1" s="543"/>
      <c r="D1" s="543"/>
      <c r="E1" s="543"/>
      <c r="F1" s="543"/>
      <c r="G1" s="543"/>
      <c r="H1" s="543"/>
      <c r="I1" s="543"/>
      <c r="J1" s="543"/>
      <c r="K1" s="543"/>
    </row>
    <row r="2" spans="1:14" x14ac:dyDescent="0.3">
      <c r="A2" s="543"/>
      <c r="B2" s="543"/>
      <c r="C2" s="543"/>
      <c r="D2" s="543"/>
      <c r="E2" s="543"/>
      <c r="F2" s="543"/>
      <c r="G2" s="543"/>
      <c r="H2" s="543"/>
      <c r="I2" s="543"/>
      <c r="J2" s="543"/>
      <c r="K2" s="543"/>
    </row>
    <row r="3" spans="1:14" ht="23" customHeight="1" x14ac:dyDescent="0.3">
      <c r="A3" s="3"/>
      <c r="B3" s="3"/>
      <c r="C3" s="544" t="s">
        <v>45</v>
      </c>
      <c r="D3" s="544"/>
      <c r="E3" s="544"/>
      <c r="F3" s="544"/>
      <c r="G3" s="544"/>
      <c r="H3" s="544"/>
      <c r="I3" s="544"/>
      <c r="J3" s="544"/>
      <c r="K3" s="544"/>
    </row>
    <row r="4" spans="1:14" ht="25.5" customHeight="1" x14ac:dyDescent="0.3">
      <c r="A4" s="3"/>
      <c r="B4" s="3"/>
      <c r="C4" s="12" t="s">
        <v>47</v>
      </c>
      <c r="D4" s="12"/>
      <c r="E4" s="22"/>
      <c r="F4" s="21"/>
      <c r="G4" s="4"/>
      <c r="H4" s="4"/>
      <c r="I4" s="4"/>
      <c r="J4" s="21"/>
      <c r="K4" s="4"/>
    </row>
    <row r="6" spans="1:14" ht="58" x14ac:dyDescent="0.3">
      <c r="A6" s="422"/>
      <c r="B6" s="423" t="s">
        <v>43</v>
      </c>
      <c r="C6" s="423" t="s">
        <v>23</v>
      </c>
      <c r="D6" s="423" t="s">
        <v>28</v>
      </c>
      <c r="E6" s="414" t="s">
        <v>271</v>
      </c>
      <c r="F6" s="415" t="s">
        <v>26</v>
      </c>
      <c r="G6" s="415" t="s">
        <v>40</v>
      </c>
      <c r="H6" s="415" t="s">
        <v>51</v>
      </c>
      <c r="I6" s="416" t="s">
        <v>42</v>
      </c>
      <c r="J6" s="424" t="s">
        <v>44</v>
      </c>
      <c r="K6" s="424" t="s">
        <v>27</v>
      </c>
      <c r="L6" s="424" t="s">
        <v>39</v>
      </c>
      <c r="M6" s="425" t="s">
        <v>16</v>
      </c>
      <c r="N6" s="423" t="s">
        <v>41</v>
      </c>
    </row>
    <row r="7" spans="1:14" ht="40.5" customHeight="1" x14ac:dyDescent="0.3">
      <c r="A7" s="556" t="s">
        <v>48</v>
      </c>
      <c r="B7" s="492">
        <v>22174744.18</v>
      </c>
      <c r="C7" s="255" t="s">
        <v>63</v>
      </c>
      <c r="D7" s="478" t="s">
        <v>260</v>
      </c>
      <c r="E7" s="493" t="s">
        <v>260</v>
      </c>
      <c r="F7" s="478" t="s">
        <v>375</v>
      </c>
      <c r="G7" s="390">
        <v>6500000</v>
      </c>
      <c r="H7" s="77" t="s">
        <v>339</v>
      </c>
      <c r="I7" s="77" t="s">
        <v>339</v>
      </c>
      <c r="J7" s="391">
        <v>45139</v>
      </c>
      <c r="K7" s="478" t="s">
        <v>38</v>
      </c>
      <c r="L7" s="392">
        <v>4078480</v>
      </c>
      <c r="M7" s="491">
        <f>G7+G8+G9+G10</f>
        <v>10500000</v>
      </c>
      <c r="N7" s="492">
        <v>0</v>
      </c>
    </row>
    <row r="8" spans="1:14" ht="42" customHeight="1" x14ac:dyDescent="0.3">
      <c r="A8" s="557"/>
      <c r="B8" s="492"/>
      <c r="C8" s="255" t="s">
        <v>64</v>
      </c>
      <c r="D8" s="478"/>
      <c r="E8" s="494"/>
      <c r="F8" s="478"/>
      <c r="G8" s="390">
        <v>1000000</v>
      </c>
      <c r="H8" s="77" t="s">
        <v>339</v>
      </c>
      <c r="I8" s="77" t="s">
        <v>339</v>
      </c>
      <c r="J8" s="391">
        <v>45264</v>
      </c>
      <c r="K8" s="478"/>
      <c r="L8" s="393" t="s">
        <v>190</v>
      </c>
      <c r="M8" s="491"/>
      <c r="N8" s="492"/>
    </row>
    <row r="9" spans="1:14" ht="33" customHeight="1" x14ac:dyDescent="0.3">
      <c r="A9" s="557"/>
      <c r="B9" s="492"/>
      <c r="C9" s="255" t="s">
        <v>65</v>
      </c>
      <c r="D9" s="478"/>
      <c r="E9" s="494"/>
      <c r="F9" s="478"/>
      <c r="G9" s="390">
        <v>2000000</v>
      </c>
      <c r="H9" s="77" t="s">
        <v>339</v>
      </c>
      <c r="I9" s="77" t="s">
        <v>339</v>
      </c>
      <c r="J9" s="394">
        <v>45267</v>
      </c>
      <c r="K9" s="478"/>
      <c r="L9" s="392" t="s">
        <v>248</v>
      </c>
      <c r="M9" s="491"/>
      <c r="N9" s="492"/>
    </row>
    <row r="10" spans="1:14" ht="39.5" customHeight="1" x14ac:dyDescent="0.3">
      <c r="A10" s="557"/>
      <c r="B10" s="492"/>
      <c r="C10" s="255" t="s">
        <v>189</v>
      </c>
      <c r="D10" s="478"/>
      <c r="E10" s="494"/>
      <c r="F10" s="478"/>
      <c r="G10" s="390">
        <v>1000000</v>
      </c>
      <c r="H10" s="77" t="s">
        <v>339</v>
      </c>
      <c r="I10" s="77" t="s">
        <v>339</v>
      </c>
      <c r="J10" s="394">
        <v>45484</v>
      </c>
      <c r="K10" s="478"/>
      <c r="L10" s="393" t="s">
        <v>146</v>
      </c>
      <c r="M10" s="491"/>
      <c r="N10" s="492"/>
    </row>
  </sheetData>
  <mergeCells count="10">
    <mergeCell ref="A1:K2"/>
    <mergeCell ref="C3:K3"/>
    <mergeCell ref="K7:K10"/>
    <mergeCell ref="M7:M10"/>
    <mergeCell ref="N7:N10"/>
    <mergeCell ref="A7:A10"/>
    <mergeCell ref="B7:B10"/>
    <mergeCell ref="D7:D10"/>
    <mergeCell ref="E7:E10"/>
    <mergeCell ref="F7:F10"/>
  </mergeCells>
  <phoneticPr fontId="15" type="noConversion"/>
  <pageMargins left="0.25" right="0.25" top="0.75" bottom="0.75" header="0.3" footer="0.3"/>
  <pageSetup paperSize="9" scale="76" fitToHeight="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6"/>
  <sheetViews>
    <sheetView topLeftCell="A4" zoomScale="70" zoomScaleNormal="70" zoomScaleSheetLayoutView="76" workbookViewId="0">
      <selection activeCell="A5" sqref="A5:N10"/>
    </sheetView>
  </sheetViews>
  <sheetFormatPr baseColWidth="10" defaultRowHeight="13" x14ac:dyDescent="0.3"/>
  <cols>
    <col min="1" max="1" width="14.69921875" customWidth="1"/>
    <col min="2" max="2" width="18.296875" customWidth="1"/>
    <col min="3" max="3" width="15.19921875" customWidth="1"/>
    <col min="4" max="4" width="15.296875" customWidth="1"/>
    <col min="5" max="5" width="16.3984375" style="1" customWidth="1"/>
    <col min="6" max="6" width="13.796875" style="1" customWidth="1"/>
    <col min="7" max="8" width="17.09765625" style="1" customWidth="1"/>
    <col min="9" max="9" width="17.59765625" style="1" customWidth="1"/>
    <col min="10" max="12" width="14.8984375" customWidth="1"/>
    <col min="13" max="13" width="14.3984375" style="1" customWidth="1"/>
    <col min="14" max="14" width="16" customWidth="1"/>
  </cols>
  <sheetData>
    <row r="1" spans="1:14" x14ac:dyDescent="0.3">
      <c r="A1" s="543" t="s">
        <v>17</v>
      </c>
      <c r="B1" s="543"/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</row>
    <row r="2" spans="1:14" x14ac:dyDescent="0.3">
      <c r="A2" s="543"/>
      <c r="B2" s="543"/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</row>
    <row r="3" spans="1:14" ht="23" customHeight="1" x14ac:dyDescent="0.3">
      <c r="A3" s="3"/>
      <c r="B3" s="3"/>
      <c r="C3" s="3"/>
      <c r="D3" s="544" t="s">
        <v>56</v>
      </c>
      <c r="E3" s="544"/>
      <c r="F3" s="544"/>
      <c r="G3" s="544"/>
      <c r="H3" s="544"/>
      <c r="I3" s="544"/>
      <c r="J3" s="544"/>
      <c r="K3" s="544"/>
      <c r="L3" s="544"/>
      <c r="M3" s="544"/>
      <c r="N3" s="544"/>
    </row>
    <row r="4" spans="1:14" ht="25.5" customHeight="1" x14ac:dyDescent="0.3">
      <c r="A4" s="3"/>
      <c r="B4" s="3"/>
      <c r="C4" s="3"/>
      <c r="D4" s="12" t="s">
        <v>53</v>
      </c>
      <c r="E4" s="40"/>
      <c r="F4" s="22"/>
      <c r="G4" s="21"/>
      <c r="H4" s="21"/>
      <c r="I4" s="21"/>
      <c r="J4" s="4"/>
      <c r="K4" s="4"/>
      <c r="L4" s="4"/>
      <c r="M4" s="21"/>
      <c r="N4" s="4"/>
    </row>
    <row r="5" spans="1:14" ht="52.5" customHeight="1" x14ac:dyDescent="0.35">
      <c r="A5" s="189"/>
      <c r="B5" s="190" t="s">
        <v>270</v>
      </c>
      <c r="C5" s="32" t="s">
        <v>269</v>
      </c>
      <c r="D5" s="32" t="s">
        <v>23</v>
      </c>
      <c r="E5" s="41" t="s">
        <v>28</v>
      </c>
      <c r="F5" s="33" t="s">
        <v>26</v>
      </c>
      <c r="G5" s="38" t="s">
        <v>40</v>
      </c>
      <c r="H5" s="39" t="s">
        <v>51</v>
      </c>
      <c r="I5" s="35" t="s">
        <v>42</v>
      </c>
      <c r="J5" s="34" t="s">
        <v>44</v>
      </c>
      <c r="K5" s="33" t="s">
        <v>27</v>
      </c>
      <c r="L5" s="33" t="s">
        <v>39</v>
      </c>
      <c r="M5" s="46" t="s">
        <v>16</v>
      </c>
      <c r="N5" s="32" t="s">
        <v>209</v>
      </c>
    </row>
    <row r="6" spans="1:14" ht="25.5" customHeight="1" x14ac:dyDescent="0.3">
      <c r="A6" s="569" t="s">
        <v>57</v>
      </c>
      <c r="B6" s="570">
        <v>5606339.4400000004</v>
      </c>
      <c r="C6" s="568">
        <f>E6+E8+E9+E10+E11</f>
        <v>5943765.9799999995</v>
      </c>
      <c r="D6" s="560" t="s">
        <v>54</v>
      </c>
      <c r="E6" s="561">
        <v>2323788.5299999998</v>
      </c>
      <c r="F6" s="562">
        <v>45532</v>
      </c>
      <c r="G6" s="563">
        <v>0</v>
      </c>
      <c r="H6" s="563">
        <v>2323788.5299999998</v>
      </c>
      <c r="I6" s="560">
        <f>E6-H6</f>
        <v>0</v>
      </c>
      <c r="J6" s="564">
        <v>45326</v>
      </c>
      <c r="K6" s="567" t="s">
        <v>55</v>
      </c>
      <c r="L6" s="565" t="s">
        <v>191</v>
      </c>
      <c r="M6" s="571">
        <f>H6+H8+H9+H10</f>
        <v>5514940.4100000001</v>
      </c>
      <c r="N6" s="558">
        <f>E12-M6</f>
        <v>143256.21999999974</v>
      </c>
    </row>
    <row r="7" spans="1:14" ht="29" customHeight="1" x14ac:dyDescent="0.3">
      <c r="A7" s="569"/>
      <c r="B7" s="570"/>
      <c r="C7" s="568"/>
      <c r="D7" s="560"/>
      <c r="E7" s="561"/>
      <c r="F7" s="562"/>
      <c r="G7" s="563"/>
      <c r="H7" s="563"/>
      <c r="I7" s="560"/>
      <c r="J7" s="564"/>
      <c r="K7" s="567"/>
      <c r="L7" s="566"/>
      <c r="M7" s="571"/>
      <c r="N7" s="558"/>
    </row>
    <row r="8" spans="1:14" ht="44.5" customHeight="1" x14ac:dyDescent="0.3">
      <c r="A8" s="569"/>
      <c r="B8" s="570"/>
      <c r="C8" s="568"/>
      <c r="D8" s="160" t="s">
        <v>35</v>
      </c>
      <c r="E8" s="161">
        <v>1858029.62</v>
      </c>
      <c r="F8" s="162">
        <v>45351</v>
      </c>
      <c r="G8" s="161">
        <v>0</v>
      </c>
      <c r="H8" s="161">
        <v>1858029.62</v>
      </c>
      <c r="I8" s="163">
        <v>0</v>
      </c>
      <c r="J8" s="164" t="s">
        <v>62</v>
      </c>
      <c r="K8" s="567"/>
      <c r="L8" s="165" t="s">
        <v>192</v>
      </c>
      <c r="M8" s="571"/>
      <c r="N8" s="558"/>
    </row>
    <row r="9" spans="1:14" ht="35.5" customHeight="1" x14ac:dyDescent="0.3">
      <c r="A9" s="569"/>
      <c r="B9" s="570"/>
      <c r="C9" s="568"/>
      <c r="D9" s="160" t="s">
        <v>36</v>
      </c>
      <c r="E9" s="161">
        <v>983122.26</v>
      </c>
      <c r="F9" s="162">
        <v>45411</v>
      </c>
      <c r="G9" s="161">
        <v>0</v>
      </c>
      <c r="H9" s="161">
        <v>983122.26</v>
      </c>
      <c r="I9" s="163">
        <v>0</v>
      </c>
      <c r="J9" s="166">
        <v>45467</v>
      </c>
      <c r="K9" s="567"/>
      <c r="L9" s="165" t="s">
        <v>193</v>
      </c>
      <c r="M9" s="571"/>
      <c r="N9" s="558"/>
    </row>
    <row r="10" spans="1:14" ht="48" customHeight="1" x14ac:dyDescent="0.3">
      <c r="A10" s="569"/>
      <c r="B10" s="570"/>
      <c r="C10" s="568"/>
      <c r="D10" s="167" t="s">
        <v>195</v>
      </c>
      <c r="E10" s="168">
        <v>493256.22</v>
      </c>
      <c r="F10" s="169">
        <v>45453</v>
      </c>
      <c r="G10" s="170">
        <v>0</v>
      </c>
      <c r="H10" s="170">
        <v>350000</v>
      </c>
      <c r="I10" s="170">
        <f>E10-H10</f>
        <v>143256.21999999997</v>
      </c>
      <c r="J10" s="171">
        <v>45560</v>
      </c>
      <c r="K10" s="185" t="s">
        <v>261</v>
      </c>
      <c r="L10" s="172"/>
      <c r="M10" s="571"/>
      <c r="N10" s="558"/>
    </row>
    <row r="11" spans="1:14" ht="48" customHeight="1" x14ac:dyDescent="0.3">
      <c r="A11" s="186"/>
      <c r="B11" s="186"/>
      <c r="C11" s="187"/>
      <c r="D11" s="192" t="s">
        <v>268</v>
      </c>
      <c r="E11" s="193">
        <v>285569.34999999998</v>
      </c>
      <c r="F11" s="194"/>
      <c r="G11" s="195"/>
      <c r="H11" s="195"/>
      <c r="I11" s="195"/>
      <c r="J11" s="196"/>
      <c r="K11" s="197"/>
      <c r="L11" s="198"/>
      <c r="M11" s="135"/>
      <c r="N11" s="188"/>
    </row>
    <row r="12" spans="1:14" ht="25" customHeight="1" x14ac:dyDescent="0.3">
      <c r="E12" s="1">
        <f>SUM(E6:E10)</f>
        <v>5658196.6299999999</v>
      </c>
    </row>
    <row r="13" spans="1:14" ht="33.65" customHeight="1" x14ac:dyDescent="0.3">
      <c r="D13" s="559" t="s">
        <v>182</v>
      </c>
      <c r="E13" s="559"/>
      <c r="F13" s="559"/>
      <c r="G13" s="559"/>
      <c r="H13" s="559"/>
      <c r="I13" s="559"/>
    </row>
    <row r="14" spans="1:14" ht="77.5" customHeight="1" x14ac:dyDescent="0.3">
      <c r="A14" s="94" t="s">
        <v>57</v>
      </c>
      <c r="B14" s="94"/>
      <c r="C14" s="9"/>
      <c r="D14" s="77" t="s">
        <v>63</v>
      </c>
      <c r="E14" s="91"/>
      <c r="F14" s="95" t="s">
        <v>194</v>
      </c>
      <c r="G14" s="30">
        <v>218600</v>
      </c>
      <c r="H14" s="30"/>
      <c r="I14" s="30"/>
      <c r="J14" s="93">
        <v>45532</v>
      </c>
      <c r="K14" s="77" t="s">
        <v>157</v>
      </c>
      <c r="L14" s="9"/>
      <c r="M14" s="30"/>
      <c r="N14" s="9"/>
    </row>
    <row r="16" spans="1:14" x14ac:dyDescent="0.3">
      <c r="H16" s="36" t="s">
        <v>1</v>
      </c>
    </row>
  </sheetData>
  <mergeCells count="17">
    <mergeCell ref="M6:M10"/>
    <mergeCell ref="N6:N10"/>
    <mergeCell ref="D13:I13"/>
    <mergeCell ref="A1:N2"/>
    <mergeCell ref="D3:N3"/>
    <mergeCell ref="D6:D7"/>
    <mergeCell ref="E6:E7"/>
    <mergeCell ref="F6:F7"/>
    <mergeCell ref="H6:H7"/>
    <mergeCell ref="I6:I7"/>
    <mergeCell ref="G6:G7"/>
    <mergeCell ref="J6:J7"/>
    <mergeCell ref="L6:L7"/>
    <mergeCell ref="K6:K9"/>
    <mergeCell ref="C6:C10"/>
    <mergeCell ref="A6:A10"/>
    <mergeCell ref="B6:B10"/>
  </mergeCells>
  <phoneticPr fontId="15" type="noConversion"/>
  <pageMargins left="0.7" right="0.7" top="0.75" bottom="0.75" header="0.3" footer="0.3"/>
  <pageSetup paperSize="9" scale="66" fitToHeight="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10"/>
  <sheetViews>
    <sheetView topLeftCell="A3" zoomScaleNormal="100" workbookViewId="0">
      <selection activeCell="A7" sqref="A7:K10"/>
    </sheetView>
  </sheetViews>
  <sheetFormatPr baseColWidth="10" defaultRowHeight="13" x14ac:dyDescent="0.3"/>
  <cols>
    <col min="2" max="2" width="15.19921875" customWidth="1"/>
    <col min="3" max="3" width="15.296875" customWidth="1"/>
    <col min="4" max="4" width="16.3984375" customWidth="1"/>
    <col min="5" max="5" width="13.796875" style="1" customWidth="1"/>
    <col min="6" max="6" width="18.59765625" style="1" customWidth="1"/>
    <col min="7" max="7" width="14.8984375" style="1" customWidth="1"/>
    <col min="8" max="10" width="14.8984375" customWidth="1"/>
    <col min="11" max="11" width="12.59765625" style="1" customWidth="1"/>
  </cols>
  <sheetData>
    <row r="1" spans="1:11" x14ac:dyDescent="0.3">
      <c r="A1" s="543" t="s">
        <v>17</v>
      </c>
      <c r="B1" s="543"/>
      <c r="C1" s="543"/>
      <c r="D1" s="543"/>
      <c r="E1" s="543"/>
      <c r="F1" s="543"/>
      <c r="G1" s="543"/>
      <c r="H1" s="543"/>
      <c r="I1" s="543"/>
      <c r="J1" s="543"/>
      <c r="K1" s="543"/>
    </row>
    <row r="2" spans="1:11" x14ac:dyDescent="0.3">
      <c r="A2" s="543"/>
      <c r="B2" s="543"/>
      <c r="C2" s="543"/>
      <c r="D2" s="543"/>
      <c r="E2" s="543"/>
      <c r="F2" s="543"/>
      <c r="G2" s="543"/>
      <c r="H2" s="543"/>
      <c r="I2" s="543"/>
      <c r="J2" s="543"/>
      <c r="K2" s="543"/>
    </row>
    <row r="3" spans="1:11" ht="23" customHeight="1" x14ac:dyDescent="0.3">
      <c r="A3" s="3"/>
      <c r="B3" s="3"/>
      <c r="C3" s="544" t="s">
        <v>52</v>
      </c>
      <c r="D3" s="544"/>
      <c r="E3" s="544"/>
      <c r="F3" s="544"/>
      <c r="G3" s="544"/>
      <c r="H3" s="544"/>
      <c r="I3" s="544"/>
      <c r="J3" s="544"/>
      <c r="K3" s="544"/>
    </row>
    <row r="4" spans="1:11" ht="25.5" customHeight="1" x14ac:dyDescent="0.3">
      <c r="A4" s="3"/>
      <c r="B4" s="3"/>
      <c r="C4" s="12" t="s">
        <v>53</v>
      </c>
      <c r="D4" s="12"/>
      <c r="E4" s="22"/>
      <c r="F4" s="21"/>
      <c r="G4" s="21"/>
      <c r="H4" s="4"/>
      <c r="I4" s="4"/>
      <c r="J4" s="4"/>
      <c r="K4" s="21"/>
    </row>
    <row r="7" spans="1:11" ht="52.5" customHeight="1" x14ac:dyDescent="0.35">
      <c r="A7" s="574" t="s">
        <v>196</v>
      </c>
      <c r="B7" s="13" t="s">
        <v>43</v>
      </c>
      <c r="C7" s="13" t="s">
        <v>23</v>
      </c>
      <c r="D7" s="13" t="s">
        <v>28</v>
      </c>
      <c r="E7" s="16" t="s">
        <v>26</v>
      </c>
      <c r="F7" s="395" t="s">
        <v>40</v>
      </c>
      <c r="G7" s="284" t="s">
        <v>368</v>
      </c>
      <c r="H7" s="293" t="s">
        <v>44</v>
      </c>
      <c r="I7" s="16" t="s">
        <v>27</v>
      </c>
      <c r="J7" s="16" t="s">
        <v>39</v>
      </c>
      <c r="K7" s="17" t="s">
        <v>369</v>
      </c>
    </row>
    <row r="8" spans="1:11" ht="29" customHeight="1" x14ac:dyDescent="0.3">
      <c r="A8" s="575"/>
      <c r="B8" s="483">
        <v>11196242.380000001</v>
      </c>
      <c r="C8" s="483" t="s">
        <v>24</v>
      </c>
      <c r="D8" s="572">
        <v>2371632.88</v>
      </c>
      <c r="E8" s="472">
        <v>45361</v>
      </c>
      <c r="F8" s="43">
        <v>1500000</v>
      </c>
      <c r="G8" s="471">
        <f>F8+F9+F10</f>
        <v>2621632.88</v>
      </c>
      <c r="H8" s="27">
        <v>45375</v>
      </c>
      <c r="I8" s="26" t="s">
        <v>58</v>
      </c>
      <c r="J8" s="26" t="s">
        <v>198</v>
      </c>
      <c r="K8" s="483">
        <f>D8-G8</f>
        <v>-250000</v>
      </c>
    </row>
    <row r="9" spans="1:11" ht="25.5" customHeight="1" x14ac:dyDescent="0.3">
      <c r="A9" s="575"/>
      <c r="B9" s="484"/>
      <c r="C9" s="484"/>
      <c r="D9" s="573"/>
      <c r="E9" s="472"/>
      <c r="F9" s="31">
        <v>871632.88</v>
      </c>
      <c r="G9" s="471"/>
      <c r="H9" s="27">
        <v>45396</v>
      </c>
      <c r="I9" s="26" t="s">
        <v>58</v>
      </c>
      <c r="J9" s="77" t="s">
        <v>197</v>
      </c>
      <c r="K9" s="484"/>
    </row>
    <row r="10" spans="1:11" ht="29" customHeight="1" x14ac:dyDescent="0.3">
      <c r="A10" s="575"/>
      <c r="B10" s="485"/>
      <c r="C10" s="485"/>
      <c r="D10" s="473" t="s">
        <v>370</v>
      </c>
      <c r="E10" s="475"/>
      <c r="F10" s="143">
        <v>250000</v>
      </c>
      <c r="G10" s="471"/>
      <c r="H10" s="90">
        <v>45657</v>
      </c>
      <c r="I10" s="77" t="s">
        <v>157</v>
      </c>
      <c r="J10" s="77" t="s">
        <v>339</v>
      </c>
      <c r="K10" s="485"/>
    </row>
  </sheetData>
  <mergeCells count="10">
    <mergeCell ref="K8:K10"/>
    <mergeCell ref="D8:D9"/>
    <mergeCell ref="E8:E9"/>
    <mergeCell ref="A1:K2"/>
    <mergeCell ref="C3:K3"/>
    <mergeCell ref="G8:G10"/>
    <mergeCell ref="B8:B10"/>
    <mergeCell ref="C8:C10"/>
    <mergeCell ref="D10:E10"/>
    <mergeCell ref="A7:A10"/>
  </mergeCells>
  <pageMargins left="0.25" right="0.25" top="0.75" bottom="0.75" header="0.3" footer="0.3"/>
  <pageSetup paperSize="9" scale="98" fitToHeight="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"/>
  <sheetViews>
    <sheetView view="pageBreakPreview" zoomScale="60" zoomScaleNormal="70" workbookViewId="0">
      <selection activeCell="J20" sqref="J20"/>
    </sheetView>
  </sheetViews>
  <sheetFormatPr baseColWidth="10" defaultRowHeight="13" x14ac:dyDescent="0.3"/>
  <cols>
    <col min="2" max="2" width="15.19921875" customWidth="1"/>
    <col min="3" max="3" width="15.296875" customWidth="1"/>
    <col min="4" max="4" width="16.3984375" customWidth="1"/>
    <col min="5" max="5" width="13.796875" style="1" customWidth="1"/>
    <col min="6" max="6" width="17.09765625" style="1" customWidth="1"/>
    <col min="7" max="7" width="14.8984375" style="1" customWidth="1"/>
    <col min="8" max="10" width="14.8984375" customWidth="1"/>
    <col min="11" max="11" width="15.59765625" style="1" customWidth="1"/>
    <col min="12" max="12" width="16" customWidth="1"/>
    <col min="13" max="13" width="19.09765625" customWidth="1"/>
  </cols>
  <sheetData>
    <row r="1" spans="1:14" x14ac:dyDescent="0.3">
      <c r="A1" s="543" t="s">
        <v>17</v>
      </c>
      <c r="B1" s="543"/>
      <c r="C1" s="543"/>
      <c r="D1" s="543"/>
      <c r="E1" s="543"/>
      <c r="F1" s="543"/>
      <c r="G1" s="543"/>
      <c r="H1" s="543"/>
      <c r="I1" s="543"/>
      <c r="J1" s="543"/>
      <c r="K1" s="543"/>
      <c r="L1" s="543"/>
    </row>
    <row r="2" spans="1:14" x14ac:dyDescent="0.3">
      <c r="A2" s="543"/>
      <c r="B2" s="543"/>
      <c r="C2" s="543"/>
      <c r="D2" s="543"/>
      <c r="E2" s="543"/>
      <c r="F2" s="543"/>
      <c r="G2" s="543"/>
      <c r="H2" s="543"/>
      <c r="I2" s="543"/>
      <c r="J2" s="543"/>
      <c r="K2" s="543"/>
      <c r="L2" s="543"/>
    </row>
    <row r="3" spans="1:14" ht="23" customHeight="1" x14ac:dyDescent="0.3">
      <c r="A3" s="3"/>
      <c r="B3" s="3"/>
      <c r="C3" s="544" t="s">
        <v>123</v>
      </c>
      <c r="D3" s="544"/>
      <c r="E3" s="544"/>
      <c r="F3" s="544"/>
      <c r="G3" s="544"/>
      <c r="H3" s="544"/>
      <c r="I3" s="544"/>
      <c r="J3" s="544"/>
      <c r="K3" s="544"/>
      <c r="L3" s="544"/>
    </row>
    <row r="4" spans="1:14" ht="25.5" customHeight="1" x14ac:dyDescent="0.3">
      <c r="A4" s="3"/>
      <c r="B4" s="3"/>
      <c r="C4" s="12" t="s">
        <v>124</v>
      </c>
      <c r="D4" s="12"/>
      <c r="E4" s="22"/>
      <c r="F4" s="21"/>
      <c r="G4" s="21"/>
      <c r="H4" s="4"/>
      <c r="I4" s="4"/>
      <c r="J4" s="4"/>
      <c r="K4" s="21"/>
      <c r="L4" s="4"/>
    </row>
    <row r="5" spans="1:14" x14ac:dyDescent="0.3">
      <c r="E5" s="36" t="s">
        <v>1</v>
      </c>
    </row>
    <row r="7" spans="1:14" ht="52.5" customHeight="1" x14ac:dyDescent="0.3">
      <c r="A7" s="6"/>
      <c r="B7" s="32" t="s">
        <v>43</v>
      </c>
      <c r="C7" s="32" t="s">
        <v>23</v>
      </c>
      <c r="D7" s="32" t="s">
        <v>28</v>
      </c>
      <c r="E7" s="104" t="s">
        <v>26</v>
      </c>
      <c r="F7" s="104" t="s">
        <v>40</v>
      </c>
      <c r="G7" s="105" t="s">
        <v>42</v>
      </c>
      <c r="H7" s="104" t="s">
        <v>44</v>
      </c>
      <c r="I7" s="104" t="s">
        <v>27</v>
      </c>
      <c r="J7" s="104" t="s">
        <v>39</v>
      </c>
      <c r="K7" s="106" t="s">
        <v>16</v>
      </c>
      <c r="L7" s="32" t="s">
        <v>41</v>
      </c>
      <c r="M7" s="106" t="s">
        <v>203</v>
      </c>
    </row>
    <row r="8" spans="1:14" ht="30" customHeight="1" x14ac:dyDescent="0.3">
      <c r="A8" s="577" t="s">
        <v>122</v>
      </c>
      <c r="B8" s="579">
        <v>1751085</v>
      </c>
      <c r="C8" s="44" t="s">
        <v>24</v>
      </c>
      <c r="D8" s="31">
        <v>741636</v>
      </c>
      <c r="E8" s="27">
        <v>45301</v>
      </c>
      <c r="F8" s="31">
        <v>0</v>
      </c>
      <c r="G8" s="45">
        <v>0</v>
      </c>
      <c r="H8" s="27">
        <v>45326</v>
      </c>
      <c r="I8" s="581" t="s">
        <v>55</v>
      </c>
      <c r="J8" s="26" t="s">
        <v>200</v>
      </c>
      <c r="K8" s="579">
        <f>D8+D9+D10</f>
        <v>1739640</v>
      </c>
      <c r="L8" s="580">
        <v>0</v>
      </c>
      <c r="M8" s="576" t="s">
        <v>204</v>
      </c>
    </row>
    <row r="9" spans="1:14" ht="29" customHeight="1" x14ac:dyDescent="0.3">
      <c r="A9" s="578"/>
      <c r="B9" s="579"/>
      <c r="C9" s="28" t="s">
        <v>35</v>
      </c>
      <c r="D9" s="31">
        <v>370818</v>
      </c>
      <c r="E9" s="27">
        <v>45305</v>
      </c>
      <c r="F9" s="31">
        <v>0</v>
      </c>
      <c r="G9" s="25">
        <v>0</v>
      </c>
      <c r="H9" s="27">
        <v>45326</v>
      </c>
      <c r="I9" s="582"/>
      <c r="J9" s="51" t="s">
        <v>201</v>
      </c>
      <c r="K9" s="579"/>
      <c r="L9" s="580"/>
      <c r="M9" s="576"/>
    </row>
    <row r="10" spans="1:14" ht="47" customHeight="1" x14ac:dyDescent="0.3">
      <c r="A10" s="578"/>
      <c r="B10" s="579"/>
      <c r="C10" s="103" t="s">
        <v>199</v>
      </c>
      <c r="D10" s="31">
        <v>627186</v>
      </c>
      <c r="E10" s="27">
        <v>45397</v>
      </c>
      <c r="F10" s="31">
        <v>0</v>
      </c>
      <c r="G10" s="25">
        <v>0</v>
      </c>
      <c r="H10" s="27">
        <v>45432</v>
      </c>
      <c r="I10" s="583"/>
      <c r="J10" s="77" t="s">
        <v>202</v>
      </c>
      <c r="K10" s="579"/>
      <c r="L10" s="580"/>
      <c r="M10" s="576"/>
      <c r="N10" s="107"/>
    </row>
  </sheetData>
  <mergeCells count="8">
    <mergeCell ref="M8:M10"/>
    <mergeCell ref="A1:L2"/>
    <mergeCell ref="C3:L3"/>
    <mergeCell ref="A8:A10"/>
    <mergeCell ref="B8:B10"/>
    <mergeCell ref="K8:K10"/>
    <mergeCell ref="L8:L10"/>
    <mergeCell ref="I8:I10"/>
  </mergeCells>
  <pageMargins left="0.7" right="0.7" top="0.75" bottom="0.75" header="0.3" footer="0.3"/>
  <pageSetup paperSize="9" scale="7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3"/>
  <sheetViews>
    <sheetView view="pageBreakPreview" zoomScale="60" zoomScaleNormal="100" workbookViewId="0">
      <selection activeCell="B11" sqref="B11:B12"/>
    </sheetView>
  </sheetViews>
  <sheetFormatPr baseColWidth="10" defaultRowHeight="13" x14ac:dyDescent="0.3"/>
  <cols>
    <col min="2" max="2" width="15.19921875" customWidth="1"/>
    <col min="3" max="3" width="15.296875" customWidth="1"/>
    <col min="4" max="4" width="16.3984375" style="1" customWidth="1"/>
    <col min="5" max="5" width="13.796875" style="1" customWidth="1"/>
    <col min="6" max="6" width="17.09765625" style="1" customWidth="1"/>
    <col min="7" max="7" width="14.8984375" style="1" customWidth="1"/>
    <col min="8" max="10" width="14.8984375" customWidth="1"/>
    <col min="11" max="11" width="12.59765625" style="1" customWidth="1"/>
    <col min="12" max="12" width="16" customWidth="1"/>
    <col min="13" max="13" width="15.3984375" customWidth="1"/>
  </cols>
  <sheetData>
    <row r="1" spans="1:14" x14ac:dyDescent="0.3">
      <c r="A1" s="543" t="s">
        <v>17</v>
      </c>
      <c r="B1" s="543"/>
      <c r="C1" s="543"/>
      <c r="D1" s="543"/>
      <c r="E1" s="543"/>
      <c r="F1" s="543"/>
      <c r="G1" s="543"/>
      <c r="H1" s="543"/>
      <c r="I1" s="543"/>
      <c r="J1" s="543"/>
      <c r="K1" s="543"/>
      <c r="L1" s="543"/>
    </row>
    <row r="2" spans="1:14" x14ac:dyDescent="0.3">
      <c r="A2" s="543"/>
      <c r="B2" s="543"/>
      <c r="C2" s="543"/>
      <c r="D2" s="543"/>
      <c r="E2" s="543"/>
      <c r="F2" s="543"/>
      <c r="G2" s="543"/>
      <c r="H2" s="543"/>
      <c r="I2" s="543"/>
      <c r="J2" s="543"/>
      <c r="K2" s="543"/>
      <c r="L2" s="543"/>
    </row>
    <row r="3" spans="1:14" ht="23" customHeight="1" x14ac:dyDescent="0.3">
      <c r="A3" s="3"/>
      <c r="B3" s="3"/>
      <c r="C3" s="544" t="s">
        <v>221</v>
      </c>
      <c r="D3" s="544"/>
      <c r="E3" s="544"/>
      <c r="F3" s="544"/>
      <c r="G3" s="544"/>
      <c r="H3" s="544"/>
      <c r="I3" s="544"/>
      <c r="J3" s="544"/>
      <c r="K3" s="544"/>
      <c r="L3" s="544"/>
    </row>
    <row r="4" spans="1:14" ht="25.5" customHeight="1" x14ac:dyDescent="0.3">
      <c r="A4" s="3"/>
      <c r="B4" s="3"/>
      <c r="C4" s="12" t="s">
        <v>222</v>
      </c>
      <c r="D4" s="40"/>
      <c r="E4" s="22"/>
      <c r="F4" s="21"/>
      <c r="G4" s="21"/>
      <c r="H4" s="4"/>
      <c r="I4" s="4"/>
      <c r="J4" s="4"/>
      <c r="K4" s="21"/>
      <c r="L4" s="4"/>
    </row>
    <row r="5" spans="1:14" x14ac:dyDescent="0.3">
      <c r="E5" s="36" t="s">
        <v>1</v>
      </c>
    </row>
    <row r="7" spans="1:14" ht="52.5" customHeight="1" x14ac:dyDescent="0.3">
      <c r="A7" s="6"/>
      <c r="B7" s="32" t="s">
        <v>43</v>
      </c>
      <c r="C7" s="32" t="s">
        <v>23</v>
      </c>
      <c r="D7" s="41" t="s">
        <v>28</v>
      </c>
      <c r="E7" s="104" t="s">
        <v>26</v>
      </c>
      <c r="F7" s="104" t="s">
        <v>40</v>
      </c>
      <c r="G7" s="105" t="s">
        <v>42</v>
      </c>
      <c r="H7" s="104" t="s">
        <v>44</v>
      </c>
      <c r="I7" s="104" t="s">
        <v>27</v>
      </c>
      <c r="J7" s="104" t="s">
        <v>39</v>
      </c>
      <c r="K7" s="106" t="s">
        <v>16</v>
      </c>
      <c r="L7" s="32" t="s">
        <v>41</v>
      </c>
      <c r="M7" s="106" t="s">
        <v>203</v>
      </c>
    </row>
    <row r="8" spans="1:14" ht="30" customHeight="1" x14ac:dyDescent="0.3">
      <c r="A8" s="577" t="s">
        <v>297</v>
      </c>
      <c r="B8" s="579"/>
      <c r="C8" s="149" t="s">
        <v>24</v>
      </c>
      <c r="D8" s="157">
        <v>1601384.4</v>
      </c>
      <c r="E8" s="27">
        <v>45301</v>
      </c>
      <c r="F8" s="31">
        <v>0</v>
      </c>
      <c r="G8" s="45">
        <v>0</v>
      </c>
      <c r="H8" s="121">
        <v>44933</v>
      </c>
      <c r="I8" s="581" t="s">
        <v>55</v>
      </c>
      <c r="J8" s="122" t="s">
        <v>224</v>
      </c>
      <c r="K8" s="579">
        <f>D8+D9+D10</f>
        <v>5345258.88</v>
      </c>
      <c r="L8" s="580">
        <v>0</v>
      </c>
      <c r="M8" s="576"/>
    </row>
    <row r="9" spans="1:14" ht="29" customHeight="1" x14ac:dyDescent="0.3">
      <c r="A9" s="578"/>
      <c r="B9" s="579"/>
      <c r="C9" s="150" t="s">
        <v>35</v>
      </c>
      <c r="D9" s="157">
        <v>1689772.5</v>
      </c>
      <c r="E9" s="27">
        <v>45305</v>
      </c>
      <c r="F9" s="31">
        <v>0</v>
      </c>
      <c r="G9" s="25">
        <v>0</v>
      </c>
      <c r="H9" s="121">
        <v>45638</v>
      </c>
      <c r="I9" s="582"/>
      <c r="J9" s="122" t="s">
        <v>151</v>
      </c>
      <c r="K9" s="579"/>
      <c r="L9" s="580"/>
      <c r="M9" s="576"/>
    </row>
    <row r="10" spans="1:14" ht="47" customHeight="1" x14ac:dyDescent="0.3">
      <c r="A10" s="578"/>
      <c r="B10" s="579"/>
      <c r="C10" s="151" t="s">
        <v>199</v>
      </c>
      <c r="D10" s="158">
        <v>2054101.98</v>
      </c>
      <c r="E10" s="27">
        <v>45397</v>
      </c>
      <c r="F10" s="31">
        <v>0</v>
      </c>
      <c r="G10" s="25">
        <v>0</v>
      </c>
      <c r="H10" s="121">
        <v>45326</v>
      </c>
      <c r="I10" s="583"/>
      <c r="J10" s="122" t="s">
        <v>150</v>
      </c>
      <c r="K10" s="579"/>
      <c r="L10" s="580"/>
      <c r="M10" s="576"/>
      <c r="N10" s="107"/>
    </row>
    <row r="15" spans="1:14" x14ac:dyDescent="0.3">
      <c r="D15" s="159"/>
      <c r="E15" s="152"/>
    </row>
    <row r="17" spans="5:6" x14ac:dyDescent="0.3">
      <c r="E17" s="152"/>
    </row>
    <row r="23" spans="5:6" x14ac:dyDescent="0.3">
      <c r="F23" s="152"/>
    </row>
  </sheetData>
  <mergeCells count="8">
    <mergeCell ref="M8:M10"/>
    <mergeCell ref="A1:L2"/>
    <mergeCell ref="C3:L3"/>
    <mergeCell ref="A8:A10"/>
    <mergeCell ref="B8:B10"/>
    <mergeCell ref="I8:I10"/>
    <mergeCell ref="K8:K10"/>
    <mergeCell ref="L8:L10"/>
  </mergeCells>
  <pageMargins left="0.7" right="0.7" top="0.75" bottom="0.75" header="0.3" footer="0.3"/>
  <pageSetup paperSize="9" scale="76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30"/>
  <sheetViews>
    <sheetView view="pageBreakPreview" topLeftCell="A7" zoomScale="73" zoomScaleNormal="76" zoomScaleSheetLayoutView="100" workbookViewId="0">
      <selection activeCell="I25" sqref="I25"/>
    </sheetView>
  </sheetViews>
  <sheetFormatPr baseColWidth="10" defaultRowHeight="13" x14ac:dyDescent="0.3"/>
  <cols>
    <col min="5" max="5" width="15.59765625" customWidth="1"/>
    <col min="6" max="6" width="14.8984375" customWidth="1"/>
    <col min="7" max="7" width="25.09765625" customWidth="1"/>
    <col min="8" max="8" width="20.09765625" customWidth="1"/>
    <col min="9" max="9" width="22.09765625" customWidth="1"/>
    <col min="10" max="10" width="20" customWidth="1"/>
    <col min="11" max="11" width="20.296875" customWidth="1"/>
  </cols>
  <sheetData>
    <row r="1" spans="1:11" ht="18" x14ac:dyDescent="0.3">
      <c r="F1" s="589" t="s">
        <v>286</v>
      </c>
      <c r="G1" s="589"/>
      <c r="H1" s="589"/>
    </row>
    <row r="2" spans="1:1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26" x14ac:dyDescent="0.3">
      <c r="A3" s="4"/>
      <c r="B3" s="110"/>
      <c r="C3" s="111" t="s">
        <v>108</v>
      </c>
      <c r="D3" s="111" t="s">
        <v>109</v>
      </c>
      <c r="E3" s="110" t="s">
        <v>110</v>
      </c>
      <c r="F3" s="112" t="s">
        <v>111</v>
      </c>
      <c r="G3" s="113" t="s">
        <v>112</v>
      </c>
      <c r="H3" s="108" t="s">
        <v>107</v>
      </c>
      <c r="I3" s="52" t="s">
        <v>205</v>
      </c>
      <c r="J3" s="52" t="s">
        <v>206</v>
      </c>
      <c r="K3" s="114" t="s">
        <v>207</v>
      </c>
    </row>
    <row r="4" spans="1:11" ht="14.5" x14ac:dyDescent="0.35">
      <c r="A4" s="4"/>
      <c r="B4" s="9">
        <v>1</v>
      </c>
      <c r="C4" s="123">
        <v>23012198</v>
      </c>
      <c r="D4" s="124">
        <v>5079110</v>
      </c>
      <c r="E4" s="125">
        <v>45230</v>
      </c>
      <c r="F4" s="54">
        <v>2598225.08</v>
      </c>
      <c r="G4" s="55">
        <v>2832065.34</v>
      </c>
      <c r="H4" s="53">
        <v>45221</v>
      </c>
      <c r="I4" s="216" t="s">
        <v>211</v>
      </c>
      <c r="J4" s="217" t="s">
        <v>208</v>
      </c>
      <c r="K4" s="218">
        <v>3135971.39</v>
      </c>
    </row>
    <row r="5" spans="1:11" ht="14.5" x14ac:dyDescent="0.35">
      <c r="A5" s="4"/>
      <c r="B5" s="9">
        <v>2</v>
      </c>
      <c r="C5" s="123">
        <v>23012197</v>
      </c>
      <c r="D5" s="124">
        <v>5079158</v>
      </c>
      <c r="E5" s="125">
        <v>45230</v>
      </c>
      <c r="F5" s="54">
        <v>2808650.85</v>
      </c>
      <c r="G5" s="55">
        <v>3061429.43</v>
      </c>
      <c r="H5" s="53">
        <v>45270</v>
      </c>
      <c r="I5" s="216" t="s">
        <v>212</v>
      </c>
      <c r="J5" s="217" t="s">
        <v>208</v>
      </c>
      <c r="K5" s="218">
        <v>2000000</v>
      </c>
    </row>
    <row r="6" spans="1:11" ht="14.5" x14ac:dyDescent="0.35">
      <c r="A6" s="4"/>
      <c r="B6" s="9">
        <v>3</v>
      </c>
      <c r="C6" s="123">
        <v>23012408</v>
      </c>
      <c r="D6" s="124">
        <v>5079399</v>
      </c>
      <c r="E6" s="125">
        <v>45251</v>
      </c>
      <c r="F6" s="54">
        <v>347200</v>
      </c>
      <c r="G6" s="55">
        <v>378448</v>
      </c>
      <c r="H6" s="53">
        <v>45279</v>
      </c>
      <c r="I6" s="216" t="s">
        <v>213</v>
      </c>
      <c r="J6" s="217" t="s">
        <v>208</v>
      </c>
      <c r="K6" s="218">
        <v>1695540.03</v>
      </c>
    </row>
    <row r="7" spans="1:11" ht="14.5" x14ac:dyDescent="0.35">
      <c r="A7" s="4"/>
      <c r="B7" s="9">
        <v>4</v>
      </c>
      <c r="C7" s="123">
        <v>23013434</v>
      </c>
      <c r="D7" s="124">
        <v>5081252</v>
      </c>
      <c r="E7" s="125">
        <v>45287</v>
      </c>
      <c r="F7" s="54">
        <v>2420677.7799999998</v>
      </c>
      <c r="G7" s="55">
        <v>2638538.7799999998</v>
      </c>
      <c r="H7" s="53">
        <v>45294</v>
      </c>
      <c r="I7" s="216" t="s">
        <v>214</v>
      </c>
      <c r="J7" s="217" t="s">
        <v>208</v>
      </c>
      <c r="K7" s="218">
        <v>2647557.94</v>
      </c>
    </row>
    <row r="8" spans="1:11" ht="14.5" x14ac:dyDescent="0.35">
      <c r="A8" s="4"/>
      <c r="B8" s="9">
        <v>5</v>
      </c>
      <c r="C8" s="123">
        <v>23013476</v>
      </c>
      <c r="D8" s="124">
        <v>5081327</v>
      </c>
      <c r="E8" s="125">
        <v>45287</v>
      </c>
      <c r="F8" s="54">
        <v>2507101</v>
      </c>
      <c r="G8" s="55">
        <v>2732740.09</v>
      </c>
      <c r="H8" s="53">
        <v>45263</v>
      </c>
      <c r="I8" s="216" t="s">
        <v>258</v>
      </c>
      <c r="J8" s="217" t="s">
        <v>209</v>
      </c>
      <c r="K8" s="218">
        <v>2822374.24</v>
      </c>
    </row>
    <row r="9" spans="1:11" ht="14.5" x14ac:dyDescent="0.35">
      <c r="A9" s="4"/>
      <c r="B9" s="9">
        <v>6</v>
      </c>
      <c r="C9" s="123">
        <v>23013610</v>
      </c>
      <c r="D9" s="124">
        <v>5081374</v>
      </c>
      <c r="E9" s="125">
        <v>45289</v>
      </c>
      <c r="F9" s="54">
        <v>1008269.73</v>
      </c>
      <c r="G9" s="55">
        <v>1099014.01</v>
      </c>
      <c r="H9" s="53">
        <v>45326</v>
      </c>
      <c r="I9" s="216" t="s">
        <v>215</v>
      </c>
      <c r="J9" s="217" t="s">
        <v>208</v>
      </c>
      <c r="K9" s="218">
        <v>3000000</v>
      </c>
    </row>
    <row r="10" spans="1:11" ht="14.5" x14ac:dyDescent="0.35">
      <c r="A10" s="4"/>
      <c r="B10" s="9">
        <v>7</v>
      </c>
      <c r="C10" s="123">
        <v>23013611</v>
      </c>
      <c r="D10" s="124">
        <v>5081214</v>
      </c>
      <c r="E10" s="125">
        <v>45289</v>
      </c>
      <c r="F10" s="54">
        <v>844758.89</v>
      </c>
      <c r="G10" s="55">
        <v>920787.19</v>
      </c>
      <c r="H10" s="53">
        <v>45342</v>
      </c>
      <c r="I10" s="216" t="s">
        <v>216</v>
      </c>
      <c r="J10" s="217" t="s">
        <v>209</v>
      </c>
      <c r="K10" s="218">
        <v>4000000</v>
      </c>
    </row>
    <row r="11" spans="1:11" ht="14.5" x14ac:dyDescent="0.35">
      <c r="A11" s="4"/>
      <c r="B11" s="9">
        <v>8</v>
      </c>
      <c r="C11" s="123">
        <v>24000423</v>
      </c>
      <c r="D11" s="124">
        <v>5082282</v>
      </c>
      <c r="E11" s="125">
        <v>45322</v>
      </c>
      <c r="F11" s="54">
        <v>2347055.4500000002</v>
      </c>
      <c r="G11" s="55">
        <v>2558290.44</v>
      </c>
      <c r="H11" s="53">
        <v>45348</v>
      </c>
      <c r="I11" s="216" t="s">
        <v>217</v>
      </c>
      <c r="J11" s="217" t="s">
        <v>209</v>
      </c>
      <c r="K11" s="218">
        <v>3000000</v>
      </c>
    </row>
    <row r="12" spans="1:11" ht="14.5" x14ac:dyDescent="0.35">
      <c r="A12" s="4"/>
      <c r="B12" s="9">
        <v>9</v>
      </c>
      <c r="C12" s="123">
        <v>24000424</v>
      </c>
      <c r="D12" s="124">
        <v>5082410</v>
      </c>
      <c r="E12" s="125">
        <v>45322</v>
      </c>
      <c r="F12" s="54">
        <v>2497547.58</v>
      </c>
      <c r="G12" s="55">
        <v>2722326.86</v>
      </c>
      <c r="H12" s="53">
        <v>45390</v>
      </c>
      <c r="I12" s="216" t="s">
        <v>218</v>
      </c>
      <c r="J12" s="217" t="s">
        <v>209</v>
      </c>
      <c r="K12" s="218">
        <v>4000000</v>
      </c>
    </row>
    <row r="13" spans="1:11" ht="14.5" x14ac:dyDescent="0.35">
      <c r="A13" s="4"/>
      <c r="B13" s="9">
        <v>10</v>
      </c>
      <c r="C13" s="123">
        <v>24001746</v>
      </c>
      <c r="D13" s="124">
        <v>5082894</v>
      </c>
      <c r="E13" s="125">
        <v>45370</v>
      </c>
      <c r="F13" s="54">
        <v>2655008.6800000002</v>
      </c>
      <c r="G13" s="55">
        <v>2893959.46</v>
      </c>
      <c r="H13" s="53">
        <v>45411</v>
      </c>
      <c r="I13" s="219" t="s">
        <v>219</v>
      </c>
      <c r="J13" s="217" t="s">
        <v>210</v>
      </c>
      <c r="K13" s="218" t="s">
        <v>113</v>
      </c>
    </row>
    <row r="14" spans="1:11" ht="14.5" x14ac:dyDescent="0.35">
      <c r="A14" s="4"/>
      <c r="B14" s="9">
        <v>11</v>
      </c>
      <c r="C14" s="123">
        <v>24001751</v>
      </c>
      <c r="D14" s="124">
        <v>5083324</v>
      </c>
      <c r="E14" s="125">
        <v>45370</v>
      </c>
      <c r="F14" s="54">
        <v>3382644.7</v>
      </c>
      <c r="G14" s="55">
        <v>3687082.72</v>
      </c>
      <c r="H14" s="53">
        <v>45438</v>
      </c>
      <c r="I14" s="216" t="s">
        <v>223</v>
      </c>
      <c r="J14" s="217" t="s">
        <v>208</v>
      </c>
      <c r="K14" s="218">
        <v>879976.81</v>
      </c>
    </row>
    <row r="15" spans="1:11" ht="14.5" x14ac:dyDescent="0.35">
      <c r="A15" s="4"/>
      <c r="B15" s="9">
        <v>12</v>
      </c>
      <c r="C15" s="123">
        <v>24001972</v>
      </c>
      <c r="D15" s="124">
        <v>5083985</v>
      </c>
      <c r="E15" s="125">
        <v>45378</v>
      </c>
      <c r="F15" s="54">
        <v>2680155.5299999998</v>
      </c>
      <c r="G15" s="55">
        <v>2921369.53</v>
      </c>
      <c r="H15" s="53">
        <v>45467</v>
      </c>
      <c r="I15" s="216" t="s">
        <v>220</v>
      </c>
      <c r="J15" s="217"/>
      <c r="K15" s="220">
        <v>1500000</v>
      </c>
    </row>
    <row r="16" spans="1:11" ht="14.5" x14ac:dyDescent="0.35">
      <c r="A16" s="4"/>
      <c r="B16" s="9">
        <v>13</v>
      </c>
      <c r="C16" s="123">
        <v>24002690</v>
      </c>
      <c r="D16" s="124">
        <v>5087480</v>
      </c>
      <c r="E16" s="125">
        <v>45412</v>
      </c>
      <c r="F16" s="54">
        <v>807318.17</v>
      </c>
      <c r="G16" s="55">
        <v>879976.81</v>
      </c>
      <c r="H16" s="53"/>
      <c r="I16" s="216"/>
      <c r="J16" s="217"/>
      <c r="K16" s="218"/>
    </row>
    <row r="17" spans="1:11" ht="14.5" x14ac:dyDescent="0.35">
      <c r="A17" s="4"/>
      <c r="B17" s="9">
        <v>14</v>
      </c>
      <c r="C17" s="123" t="s">
        <v>114</v>
      </c>
      <c r="D17" s="124" t="s">
        <v>115</v>
      </c>
      <c r="E17" s="125">
        <v>45433</v>
      </c>
      <c r="F17" s="54">
        <v>220722.73</v>
      </c>
      <c r="G17" s="55">
        <v>240587.78</v>
      </c>
      <c r="H17" s="4"/>
      <c r="I17" s="4"/>
      <c r="J17" s="4"/>
      <c r="K17" s="4"/>
    </row>
    <row r="18" spans="1:11" x14ac:dyDescent="0.3">
      <c r="A18" s="4"/>
      <c r="B18" s="9">
        <v>15</v>
      </c>
      <c r="C18" s="461">
        <v>24004761</v>
      </c>
      <c r="D18" s="461">
        <v>5091232</v>
      </c>
      <c r="E18" s="462">
        <v>45487</v>
      </c>
      <c r="F18" s="463">
        <v>16152.42</v>
      </c>
      <c r="G18" s="367">
        <v>17606.14</v>
      </c>
      <c r="H18" s="115"/>
      <c r="I18" s="118"/>
      <c r="J18" s="119"/>
      <c r="K18" s="116"/>
    </row>
    <row r="19" spans="1:11" x14ac:dyDescent="0.3">
      <c r="A19" s="4"/>
      <c r="B19" s="9">
        <v>16</v>
      </c>
      <c r="C19" s="461">
        <v>24004762</v>
      </c>
      <c r="D19" s="461">
        <v>5090472</v>
      </c>
      <c r="E19" s="462">
        <v>45487</v>
      </c>
      <c r="F19" s="463">
        <v>79039.94</v>
      </c>
      <c r="G19" s="367">
        <v>86153.53</v>
      </c>
      <c r="H19" s="115"/>
      <c r="I19" s="118"/>
      <c r="J19" s="119"/>
      <c r="K19" s="116"/>
    </row>
    <row r="20" spans="1:11" x14ac:dyDescent="0.3">
      <c r="A20" s="4"/>
      <c r="B20" s="9">
        <v>17</v>
      </c>
      <c r="C20" s="4">
        <v>24004845</v>
      </c>
      <c r="D20" s="461">
        <v>5089526</v>
      </c>
      <c r="E20" s="462">
        <v>45494</v>
      </c>
      <c r="F20" s="463">
        <v>985487.06</v>
      </c>
      <c r="G20" s="367">
        <v>1074180.8999999999</v>
      </c>
      <c r="H20" s="115"/>
      <c r="I20" s="118"/>
      <c r="J20" s="119"/>
      <c r="K20" s="116"/>
    </row>
    <row r="21" spans="1:11" ht="15" x14ac:dyDescent="0.3">
      <c r="A21" s="4"/>
      <c r="B21" s="3"/>
      <c r="C21" s="5"/>
      <c r="D21" s="5"/>
      <c r="E21" s="56"/>
      <c r="F21" s="57"/>
      <c r="G21" s="58"/>
      <c r="H21" s="53"/>
      <c r="I21" s="109"/>
      <c r="J21" s="469" t="s">
        <v>116</v>
      </c>
      <c r="K21" s="470">
        <f>SUM(K4:K15)</f>
        <v>28681420.41</v>
      </c>
    </row>
    <row r="22" spans="1:11" x14ac:dyDescent="0.3">
      <c r="A22" s="4"/>
      <c r="B22" s="3"/>
      <c r="C22" s="5"/>
      <c r="D22" s="5"/>
      <c r="E22" s="56"/>
      <c r="F22" s="57"/>
      <c r="G22" s="58" t="s">
        <v>1</v>
      </c>
      <c r="H22" s="115"/>
      <c r="I22" s="118"/>
      <c r="J22" s="119"/>
      <c r="K22" s="117" t="s">
        <v>1</v>
      </c>
    </row>
    <row r="23" spans="1:11" ht="14.5" x14ac:dyDescent="0.3">
      <c r="A23" s="4"/>
      <c r="B23" s="3"/>
      <c r="C23" s="5"/>
      <c r="D23" s="5"/>
      <c r="E23" s="56"/>
      <c r="F23" s="464" t="s">
        <v>117</v>
      </c>
      <c r="G23" s="465">
        <f>SUM(G4:G20)</f>
        <v>30744557.009999998</v>
      </c>
      <c r="H23" s="115"/>
      <c r="I23" s="118"/>
      <c r="J23" s="4"/>
      <c r="K23" s="4"/>
    </row>
    <row r="24" spans="1:11" ht="14.5" x14ac:dyDescent="0.3">
      <c r="A24" s="4"/>
      <c r="B24" s="4"/>
      <c r="C24" s="4"/>
      <c r="D24" s="4"/>
      <c r="E24" s="4"/>
      <c r="F24" s="466" t="s">
        <v>259</v>
      </c>
      <c r="G24" s="465">
        <f>G23*0.05</f>
        <v>1537227.8504999999</v>
      </c>
      <c r="H24" s="115"/>
      <c r="I24" s="118"/>
      <c r="J24" s="119"/>
      <c r="K24" s="116"/>
    </row>
    <row r="25" spans="1:11" ht="14.5" x14ac:dyDescent="0.35">
      <c r="A25" s="4"/>
      <c r="B25" s="4"/>
      <c r="C25" s="4"/>
      <c r="D25" s="4"/>
      <c r="E25" s="4"/>
      <c r="F25" s="467" t="s">
        <v>118</v>
      </c>
      <c r="G25" s="468">
        <f>SUM(G23-G24)</f>
        <v>29207329.159499999</v>
      </c>
      <c r="H25" s="115"/>
      <c r="I25" s="120"/>
      <c r="J25" s="119"/>
      <c r="K25" s="117"/>
    </row>
    <row r="26" spans="1:11" ht="13.5" thickBot="1" x14ac:dyDescent="0.35">
      <c r="A26" s="4"/>
      <c r="B26" s="4"/>
      <c r="C26" s="4"/>
      <c r="D26" s="4"/>
      <c r="E26" s="4"/>
      <c r="F26" s="4"/>
      <c r="G26" s="4"/>
      <c r="H26" s="115"/>
      <c r="I26" s="120"/>
      <c r="J26" s="119"/>
      <c r="K26" s="117"/>
    </row>
    <row r="27" spans="1:11" ht="28.5" thickBot="1" x14ac:dyDescent="0.65">
      <c r="A27" s="66"/>
      <c r="B27" s="73"/>
      <c r="C27" s="73"/>
      <c r="D27" s="4"/>
      <c r="E27" s="4"/>
      <c r="F27" s="584" t="s">
        <v>119</v>
      </c>
      <c r="G27" s="585"/>
      <c r="H27" s="584">
        <f>G25-K21</f>
        <v>525908.74949999899</v>
      </c>
      <c r="I27" s="585"/>
      <c r="J27" s="586"/>
      <c r="K27" s="117"/>
    </row>
    <row r="28" spans="1:11" ht="28" x14ac:dyDescent="0.6">
      <c r="A28" s="73"/>
      <c r="B28" s="73"/>
      <c r="C28" s="73"/>
      <c r="D28" s="4"/>
      <c r="E28" s="4"/>
      <c r="F28" s="587"/>
      <c r="G28" s="588"/>
      <c r="H28" s="115"/>
      <c r="I28" s="120"/>
      <c r="J28" s="119"/>
      <c r="K28" s="117"/>
    </row>
    <row r="29" spans="1:11" x14ac:dyDescent="0.3">
      <c r="A29" s="4"/>
      <c r="B29" s="4"/>
      <c r="C29" s="4"/>
      <c r="D29" s="4"/>
      <c r="E29" s="4"/>
      <c r="F29" s="4"/>
      <c r="G29" s="4"/>
      <c r="H29" s="115"/>
      <c r="I29" s="120"/>
      <c r="J29" s="119"/>
      <c r="K29" s="117"/>
    </row>
    <row r="30" spans="1:11" x14ac:dyDescent="0.3">
      <c r="A30" s="4"/>
      <c r="B30" s="4"/>
      <c r="C30" s="4"/>
      <c r="D30" s="4"/>
      <c r="E30" s="4"/>
      <c r="F30" s="4"/>
      <c r="G30" s="4"/>
      <c r="H30" s="115"/>
      <c r="I30" s="120"/>
      <c r="J30" s="119"/>
      <c r="K30" s="117"/>
    </row>
  </sheetData>
  <mergeCells count="4">
    <mergeCell ref="F27:G27"/>
    <mergeCell ref="H27:J27"/>
    <mergeCell ref="F28:G28"/>
    <mergeCell ref="F1:H1"/>
  </mergeCells>
  <conditionalFormatting sqref="C3:C19 C21:C23 D20">
    <cfRule type="duplicateValues" dxfId="29" priority="27"/>
    <cfRule type="duplicateValues" dxfId="28" priority="28"/>
    <cfRule type="duplicateValues" dxfId="27" priority="29"/>
  </conditionalFormatting>
  <conditionalFormatting sqref="D3:D19 D21:D23">
    <cfRule type="duplicateValues" dxfId="26" priority="26"/>
  </conditionalFormatting>
  <conditionalFormatting sqref="G23:G24">
    <cfRule type="duplicateValues" dxfId="25" priority="30"/>
  </conditionalFormatting>
  <conditionalFormatting sqref="H3:K3">
    <cfRule type="duplicateValues" dxfId="24" priority="21"/>
    <cfRule type="duplicateValues" dxfId="23" priority="22"/>
    <cfRule type="duplicateValues" dxfId="22" priority="23"/>
  </conditionalFormatting>
  <conditionalFormatting sqref="I4">
    <cfRule type="duplicateValues" dxfId="21" priority="20"/>
  </conditionalFormatting>
  <conditionalFormatting sqref="I5">
    <cfRule type="duplicateValues" dxfId="20" priority="18"/>
  </conditionalFormatting>
  <conditionalFormatting sqref="I6">
    <cfRule type="duplicateValues" dxfId="19" priority="16"/>
  </conditionalFormatting>
  <conditionalFormatting sqref="I7">
    <cfRule type="duplicateValues" dxfId="18" priority="14"/>
  </conditionalFormatting>
  <conditionalFormatting sqref="I8">
    <cfRule type="duplicateValues" dxfId="17" priority="12"/>
  </conditionalFormatting>
  <conditionalFormatting sqref="I9">
    <cfRule type="duplicateValues" dxfId="16" priority="10"/>
  </conditionalFormatting>
  <conditionalFormatting sqref="I10">
    <cfRule type="duplicateValues" dxfId="15" priority="8"/>
  </conditionalFormatting>
  <conditionalFormatting sqref="I11">
    <cfRule type="duplicateValues" dxfId="14" priority="6"/>
  </conditionalFormatting>
  <conditionalFormatting sqref="I12">
    <cfRule type="duplicateValues" dxfId="13" priority="4"/>
  </conditionalFormatting>
  <conditionalFormatting sqref="I13">
    <cfRule type="duplicateValues" dxfId="12" priority="3"/>
  </conditionalFormatting>
  <conditionalFormatting sqref="I14">
    <cfRule type="duplicateValues" dxfId="11" priority="2"/>
  </conditionalFormatting>
  <conditionalFormatting sqref="I28:I30 I15:I16 I18:I26">
    <cfRule type="duplicateValues" dxfId="10" priority="25"/>
  </conditionalFormatting>
  <conditionalFormatting sqref="K4">
    <cfRule type="duplicateValues" dxfId="9" priority="19"/>
  </conditionalFormatting>
  <conditionalFormatting sqref="K5">
    <cfRule type="duplicateValues" dxfId="8" priority="17"/>
  </conditionalFormatting>
  <conditionalFormatting sqref="K6">
    <cfRule type="duplicateValues" dxfId="7" priority="15"/>
  </conditionalFormatting>
  <conditionalFormatting sqref="K7">
    <cfRule type="duplicateValues" dxfId="6" priority="13"/>
  </conditionalFormatting>
  <conditionalFormatting sqref="K8">
    <cfRule type="duplicateValues" dxfId="5" priority="11"/>
  </conditionalFormatting>
  <conditionalFormatting sqref="K9">
    <cfRule type="duplicateValues" dxfId="4" priority="9"/>
  </conditionalFormatting>
  <conditionalFormatting sqref="K10">
    <cfRule type="duplicateValues" dxfId="3" priority="7"/>
  </conditionalFormatting>
  <conditionalFormatting sqref="K11">
    <cfRule type="duplicateValues" dxfId="2" priority="5"/>
  </conditionalFormatting>
  <conditionalFormatting sqref="K15">
    <cfRule type="duplicateValues" dxfId="1" priority="1"/>
  </conditionalFormatting>
  <conditionalFormatting sqref="K18:K20 K16 K24:K30 K22">
    <cfRule type="duplicateValues" dxfId="0" priority="24"/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3:L18"/>
  <sheetViews>
    <sheetView view="pageBreakPreview" zoomScale="60" zoomScaleNormal="64" workbookViewId="0">
      <selection activeCell="A7" sqref="A7:A18"/>
    </sheetView>
  </sheetViews>
  <sheetFormatPr baseColWidth="10" defaultRowHeight="13" x14ac:dyDescent="0.3"/>
  <cols>
    <col min="1" max="1" width="16.19921875" customWidth="1"/>
    <col min="2" max="3" width="14.796875" customWidth="1"/>
    <col min="4" max="4" width="19.59765625" style="3" customWidth="1"/>
    <col min="5" max="5" width="14.09765625" customWidth="1"/>
    <col min="6" max="6" width="20.69921875" customWidth="1"/>
    <col min="7" max="7" width="18.8984375" customWidth="1"/>
    <col min="8" max="8" width="17.296875" customWidth="1"/>
    <col min="9" max="9" width="19" customWidth="1"/>
    <col min="10" max="10" width="18.796875" customWidth="1"/>
    <col min="11" max="11" width="19.296875" customWidth="1"/>
    <col min="12" max="12" width="14.3984375" bestFit="1" customWidth="1"/>
  </cols>
  <sheetData>
    <row r="3" spans="1:12" x14ac:dyDescent="0.3">
      <c r="A3" s="544" t="s">
        <v>136</v>
      </c>
      <c r="B3" s="544"/>
      <c r="C3" s="544"/>
      <c r="D3" s="544"/>
      <c r="E3" s="544"/>
      <c r="F3" s="544"/>
      <c r="G3" s="544"/>
      <c r="H3" s="544"/>
      <c r="I3" s="544"/>
      <c r="J3" s="544"/>
      <c r="K3" s="544"/>
      <c r="L3" s="544"/>
    </row>
    <row r="4" spans="1:12" x14ac:dyDescent="0.3">
      <c r="A4" s="590" t="s">
        <v>179</v>
      </c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</row>
    <row r="5" spans="1:12" ht="24" customHeight="1" x14ac:dyDescent="0.35">
      <c r="E5" s="591"/>
      <c r="F5" s="591"/>
      <c r="G5" s="591"/>
      <c r="H5" s="591"/>
      <c r="I5" s="591"/>
      <c r="J5" s="591"/>
      <c r="K5" s="591"/>
      <c r="L5" s="591"/>
    </row>
    <row r="6" spans="1:12" ht="40" customHeight="1" x14ac:dyDescent="0.35">
      <c r="A6" s="13" t="s">
        <v>19</v>
      </c>
      <c r="B6" s="13" t="s">
        <v>23</v>
      </c>
      <c r="C6" s="13" t="s">
        <v>312</v>
      </c>
      <c r="D6" s="13" t="s">
        <v>308</v>
      </c>
      <c r="E6" s="65" t="s">
        <v>6</v>
      </c>
      <c r="F6" s="19" t="s">
        <v>12</v>
      </c>
      <c r="G6" s="67"/>
      <c r="H6" s="20" t="s">
        <v>27</v>
      </c>
      <c r="I6" s="19" t="s">
        <v>16</v>
      </c>
      <c r="J6" s="20" t="s">
        <v>309</v>
      </c>
      <c r="K6" s="42" t="s">
        <v>280</v>
      </c>
      <c r="L6" s="8"/>
    </row>
    <row r="7" spans="1:12" ht="37" customHeight="1" x14ac:dyDescent="0.3">
      <c r="A7" s="500">
        <v>13750000</v>
      </c>
      <c r="B7" s="592" t="s">
        <v>307</v>
      </c>
      <c r="C7" s="604">
        <v>45615</v>
      </c>
      <c r="D7" s="500">
        <v>5692257.7000000002</v>
      </c>
      <c r="E7" s="85">
        <v>45476</v>
      </c>
      <c r="F7" s="84" t="s">
        <v>13</v>
      </c>
      <c r="G7" s="87">
        <v>10000</v>
      </c>
      <c r="H7" s="595" t="s">
        <v>18</v>
      </c>
      <c r="I7" s="598">
        <f>G7+G8+G9+G10+G11+G12+G13+G14+G15+G16+G17+G18</f>
        <v>4630000</v>
      </c>
      <c r="J7" s="601">
        <v>284612.88</v>
      </c>
      <c r="K7" s="601">
        <f>D7-I7-J7</f>
        <v>777644.82000000018</v>
      </c>
    </row>
    <row r="8" spans="1:12" ht="33" customHeight="1" x14ac:dyDescent="0.3">
      <c r="A8" s="513"/>
      <c r="B8" s="593"/>
      <c r="C8" s="593"/>
      <c r="D8" s="513"/>
      <c r="E8" s="85">
        <v>45487</v>
      </c>
      <c r="F8" s="84" t="s">
        <v>14</v>
      </c>
      <c r="G8" s="87">
        <v>20000</v>
      </c>
      <c r="H8" s="596"/>
      <c r="I8" s="599"/>
      <c r="J8" s="602"/>
      <c r="K8" s="602"/>
    </row>
    <row r="9" spans="1:12" ht="22.75" customHeight="1" x14ac:dyDescent="0.3">
      <c r="A9" s="513"/>
      <c r="B9" s="593"/>
      <c r="C9" s="593"/>
      <c r="D9" s="513"/>
      <c r="E9" s="85">
        <v>45491</v>
      </c>
      <c r="F9" s="84" t="s">
        <v>68</v>
      </c>
      <c r="G9" s="87">
        <v>100000</v>
      </c>
      <c r="H9" s="596"/>
      <c r="I9" s="599"/>
      <c r="J9" s="602"/>
      <c r="K9" s="602"/>
    </row>
    <row r="10" spans="1:12" ht="30" customHeight="1" x14ac:dyDescent="0.3">
      <c r="A10" s="513"/>
      <c r="B10" s="593"/>
      <c r="C10" s="593"/>
      <c r="D10" s="513"/>
      <c r="E10" s="85">
        <v>45498</v>
      </c>
      <c r="F10" s="86" t="s">
        <v>140</v>
      </c>
      <c r="G10" s="87">
        <v>600000</v>
      </c>
      <c r="H10" s="596"/>
      <c r="I10" s="599"/>
      <c r="J10" s="602"/>
      <c r="K10" s="602"/>
    </row>
    <row r="11" spans="1:12" ht="27.65" customHeight="1" x14ac:dyDescent="0.3">
      <c r="A11" s="513"/>
      <c r="B11" s="593"/>
      <c r="C11" s="593"/>
      <c r="D11" s="513"/>
      <c r="E11" s="85">
        <v>45512</v>
      </c>
      <c r="F11" s="84" t="s">
        <v>178</v>
      </c>
      <c r="G11" s="87">
        <v>100000</v>
      </c>
      <c r="H11" s="596"/>
      <c r="I11" s="599"/>
      <c r="J11" s="602"/>
      <c r="K11" s="602"/>
    </row>
    <row r="12" spans="1:12" ht="35.4" customHeight="1" x14ac:dyDescent="0.3">
      <c r="A12" s="513"/>
      <c r="B12" s="593"/>
      <c r="C12" s="593"/>
      <c r="D12" s="513"/>
      <c r="E12" s="85">
        <v>45532</v>
      </c>
      <c r="F12" s="84" t="s">
        <v>139</v>
      </c>
      <c r="G12" s="87">
        <v>500000</v>
      </c>
      <c r="H12" s="596"/>
      <c r="I12" s="599"/>
      <c r="J12" s="602"/>
      <c r="K12" s="602"/>
      <c r="L12" s="206"/>
    </row>
    <row r="13" spans="1:12" ht="35.4" customHeight="1" x14ac:dyDescent="0.3">
      <c r="A13" s="513"/>
      <c r="B13" s="593"/>
      <c r="C13" s="593"/>
      <c r="D13" s="513"/>
      <c r="E13" s="85">
        <v>45553</v>
      </c>
      <c r="F13" s="84" t="s">
        <v>159</v>
      </c>
      <c r="G13" s="87">
        <v>400000</v>
      </c>
      <c r="H13" s="596"/>
      <c r="I13" s="599"/>
      <c r="J13" s="602"/>
      <c r="K13" s="602"/>
      <c r="L13" t="s">
        <v>1</v>
      </c>
    </row>
    <row r="14" spans="1:12" ht="35.4" customHeight="1" x14ac:dyDescent="0.3">
      <c r="A14" s="513"/>
      <c r="B14" s="593"/>
      <c r="C14" s="593"/>
      <c r="D14" s="513"/>
      <c r="E14" s="85">
        <v>45561</v>
      </c>
      <c r="F14" s="84" t="s">
        <v>168</v>
      </c>
      <c r="G14" s="87">
        <v>200000</v>
      </c>
      <c r="H14" s="596"/>
      <c r="I14" s="599"/>
      <c r="J14" s="602"/>
      <c r="K14" s="602"/>
    </row>
    <row r="15" spans="1:12" ht="35.4" customHeight="1" x14ac:dyDescent="0.3">
      <c r="A15" s="513"/>
      <c r="B15" s="593"/>
      <c r="C15" s="593"/>
      <c r="D15" s="513"/>
      <c r="E15" s="85">
        <v>45565</v>
      </c>
      <c r="F15" s="84" t="s">
        <v>170</v>
      </c>
      <c r="G15" s="244">
        <v>200000</v>
      </c>
      <c r="H15" s="596"/>
      <c r="I15" s="599"/>
      <c r="J15" s="602"/>
      <c r="K15" s="602"/>
    </row>
    <row r="16" spans="1:12" ht="24.65" customHeight="1" x14ac:dyDescent="0.3">
      <c r="A16" s="513"/>
      <c r="B16" s="593"/>
      <c r="C16" s="593"/>
      <c r="D16" s="513"/>
      <c r="E16" s="279">
        <v>45579</v>
      </c>
      <c r="F16" s="280" t="s">
        <v>171</v>
      </c>
      <c r="G16" s="282">
        <v>1000000</v>
      </c>
      <c r="H16" s="596"/>
      <c r="I16" s="599"/>
      <c r="J16" s="602"/>
      <c r="K16" s="602"/>
    </row>
    <row r="17" spans="1:11" ht="38.4" customHeight="1" x14ac:dyDescent="0.3">
      <c r="A17" s="513"/>
      <c r="B17" s="593"/>
      <c r="C17" s="593"/>
      <c r="D17" s="513"/>
      <c r="E17" s="85">
        <v>45626</v>
      </c>
      <c r="F17" s="84" t="s">
        <v>310</v>
      </c>
      <c r="G17" s="87">
        <v>500000</v>
      </c>
      <c r="H17" s="596"/>
      <c r="I17" s="599"/>
      <c r="J17" s="602"/>
      <c r="K17" s="602"/>
    </row>
    <row r="18" spans="1:11" ht="34" customHeight="1" x14ac:dyDescent="0.3">
      <c r="A18" s="501"/>
      <c r="B18" s="594"/>
      <c r="C18" s="594"/>
      <c r="D18" s="501"/>
      <c r="E18" s="85">
        <v>45627</v>
      </c>
      <c r="F18" s="84" t="s">
        <v>311</v>
      </c>
      <c r="G18" s="87">
        <v>1000000</v>
      </c>
      <c r="H18" s="597"/>
      <c r="I18" s="600"/>
      <c r="J18" s="603"/>
      <c r="K18" s="603"/>
    </row>
  </sheetData>
  <mergeCells count="11">
    <mergeCell ref="A3:L3"/>
    <mergeCell ref="A4:L4"/>
    <mergeCell ref="E5:L5"/>
    <mergeCell ref="A7:A18"/>
    <mergeCell ref="B7:B18"/>
    <mergeCell ref="D7:D18"/>
    <mergeCell ref="H7:H18"/>
    <mergeCell ref="I7:I18"/>
    <mergeCell ref="J7:J18"/>
    <mergeCell ref="K7:K18"/>
    <mergeCell ref="C7:C18"/>
  </mergeCells>
  <phoneticPr fontId="15" type="noConversion"/>
  <pageMargins left="0.25" right="0.25" top="0.75" bottom="0.75" header="0.3" footer="0.3"/>
  <pageSetup paperSize="9" scale="78" fitToWidth="0" orientation="landscape" horizontalDpi="300" verticalDpi="300" r:id="rId1"/>
  <colBreaks count="1" manualBreakCount="1">
    <brk id="11" max="26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L14"/>
  <sheetViews>
    <sheetView view="pageBreakPreview" zoomScale="94" zoomScaleNormal="100" workbookViewId="0">
      <selection activeCell="A4" sqref="A4:D8"/>
    </sheetView>
  </sheetViews>
  <sheetFormatPr baseColWidth="10" defaultRowHeight="13" x14ac:dyDescent="0.3"/>
  <cols>
    <col min="2" max="2" width="16.5" bestFit="1" customWidth="1"/>
    <col min="3" max="3" width="13" customWidth="1"/>
    <col min="4" max="4" width="15.09765625" customWidth="1"/>
    <col min="5" max="5" width="18.19921875" customWidth="1"/>
    <col min="6" max="6" width="14.8984375" customWidth="1"/>
    <col min="7" max="7" width="13.8984375" customWidth="1"/>
    <col min="8" max="8" width="12.8984375" customWidth="1"/>
    <col min="9" max="9" width="13.3984375" customWidth="1"/>
    <col min="10" max="10" width="12.8984375" customWidth="1"/>
    <col min="11" max="11" width="17" customWidth="1"/>
    <col min="12" max="12" width="16.8984375" customWidth="1"/>
  </cols>
  <sheetData>
    <row r="2" spans="1:12" x14ac:dyDescent="0.3">
      <c r="E2" s="618" t="s">
        <v>272</v>
      </c>
      <c r="F2" s="612"/>
      <c r="G2" s="612"/>
      <c r="H2" s="612"/>
    </row>
    <row r="3" spans="1:12" ht="13.5" thickBot="1" x14ac:dyDescent="0.35"/>
    <row r="4" spans="1:12" ht="25" customHeight="1" thickBot="1" x14ac:dyDescent="0.35">
      <c r="A4" s="126" t="s">
        <v>2</v>
      </c>
      <c r="B4" s="126" t="s">
        <v>398</v>
      </c>
      <c r="C4" s="126" t="s">
        <v>3</v>
      </c>
      <c r="D4" s="127" t="s">
        <v>156</v>
      </c>
      <c r="E4" s="127" t="s">
        <v>233</v>
      </c>
      <c r="F4" s="127" t="s">
        <v>229</v>
      </c>
      <c r="G4" s="127" t="s">
        <v>230</v>
      </c>
      <c r="H4" s="127" t="s">
        <v>155</v>
      </c>
      <c r="I4" s="127" t="s">
        <v>141</v>
      </c>
      <c r="J4" s="128" t="s">
        <v>142</v>
      </c>
      <c r="K4" s="129" t="s">
        <v>231</v>
      </c>
      <c r="L4" s="129" t="s">
        <v>232</v>
      </c>
    </row>
    <row r="5" spans="1:12" ht="20.5" customHeight="1" x14ac:dyDescent="0.3">
      <c r="A5" s="621" t="s">
        <v>149</v>
      </c>
      <c r="B5" s="624">
        <f>D5+D7</f>
        <v>14996736.02</v>
      </c>
      <c r="C5" s="621" t="s">
        <v>143</v>
      </c>
      <c r="D5" s="622">
        <v>12134255</v>
      </c>
      <c r="E5" s="130" t="s">
        <v>225</v>
      </c>
      <c r="F5" s="130"/>
      <c r="G5" s="130">
        <v>6067127.5</v>
      </c>
      <c r="H5" s="619">
        <v>2023</v>
      </c>
      <c r="I5" s="132">
        <v>45217</v>
      </c>
      <c r="J5" s="130" t="s">
        <v>235</v>
      </c>
      <c r="K5" s="623">
        <f>G5+G6</f>
        <v>8493978.5</v>
      </c>
      <c r="L5" s="623">
        <f>D5-K5</f>
        <v>3640276.5</v>
      </c>
    </row>
    <row r="6" spans="1:12" ht="19" customHeight="1" x14ac:dyDescent="0.3">
      <c r="A6" s="621"/>
      <c r="B6" s="625"/>
      <c r="C6" s="621"/>
      <c r="D6" s="622"/>
      <c r="E6" s="130" t="s">
        <v>226</v>
      </c>
      <c r="F6" s="130"/>
      <c r="G6" s="130">
        <v>2426851</v>
      </c>
      <c r="H6" s="619"/>
      <c r="I6" s="132">
        <v>45250</v>
      </c>
      <c r="J6" s="130" t="s">
        <v>234</v>
      </c>
      <c r="K6" s="617"/>
      <c r="L6" s="617"/>
    </row>
    <row r="7" spans="1:12" ht="24" customHeight="1" x14ac:dyDescent="0.3">
      <c r="A7" s="621"/>
      <c r="B7" s="625"/>
      <c r="C7" s="621" t="s">
        <v>144</v>
      </c>
      <c r="D7" s="622">
        <v>2862481.02</v>
      </c>
      <c r="E7" s="622" t="s">
        <v>227</v>
      </c>
      <c r="F7" s="622">
        <v>2862481.02</v>
      </c>
      <c r="G7" s="130">
        <v>1100000</v>
      </c>
      <c r="H7" s="619">
        <v>2024</v>
      </c>
      <c r="I7" s="131">
        <v>45445</v>
      </c>
      <c r="J7" s="131" t="s">
        <v>145</v>
      </c>
      <c r="K7" s="620">
        <f>G7+G8</f>
        <v>2872480</v>
      </c>
      <c r="L7" s="620">
        <f>F7-K7</f>
        <v>-9998.9799999999814</v>
      </c>
    </row>
    <row r="8" spans="1:12" ht="25" customHeight="1" x14ac:dyDescent="0.3">
      <c r="A8" s="621"/>
      <c r="B8" s="626"/>
      <c r="C8" s="621"/>
      <c r="D8" s="622"/>
      <c r="E8" s="622"/>
      <c r="F8" s="622"/>
      <c r="G8" s="130">
        <v>1772480</v>
      </c>
      <c r="H8" s="619"/>
      <c r="I8" s="131">
        <v>45484</v>
      </c>
      <c r="J8" s="131" t="s">
        <v>147</v>
      </c>
      <c r="K8" s="614"/>
      <c r="L8" s="614"/>
    </row>
    <row r="9" spans="1:12" ht="27.5" customHeight="1" x14ac:dyDescent="0.3">
      <c r="D9" s="206"/>
      <c r="G9" s="24"/>
      <c r="K9" s="206"/>
    </row>
    <row r="14" spans="1:12" x14ac:dyDescent="0.3">
      <c r="D14" s="2" t="s">
        <v>1</v>
      </c>
    </row>
  </sheetData>
  <mergeCells count="15">
    <mergeCell ref="E2:H2"/>
    <mergeCell ref="H7:H8"/>
    <mergeCell ref="K7:K8"/>
    <mergeCell ref="L7:L8"/>
    <mergeCell ref="A5:A8"/>
    <mergeCell ref="C5:C6"/>
    <mergeCell ref="D5:D6"/>
    <mergeCell ref="H5:H6"/>
    <mergeCell ref="K5:K6"/>
    <mergeCell ref="L5:L6"/>
    <mergeCell ref="C7:C8"/>
    <mergeCell ref="D7:D8"/>
    <mergeCell ref="E7:E8"/>
    <mergeCell ref="F7:F8"/>
    <mergeCell ref="B5:B8"/>
  </mergeCells>
  <pageMargins left="0.7" right="0.7" top="0.75" bottom="0.75" header="0.3" footer="0.3"/>
  <pageSetup paperSize="9" scale="83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N18"/>
  <sheetViews>
    <sheetView view="pageBreakPreview" zoomScale="60" zoomScaleNormal="46" workbookViewId="0">
      <selection activeCell="A4" sqref="A4:M4"/>
    </sheetView>
  </sheetViews>
  <sheetFormatPr baseColWidth="10" defaultRowHeight="13" x14ac:dyDescent="0.3"/>
  <cols>
    <col min="1" max="1" width="15.19921875" customWidth="1"/>
    <col min="2" max="2" width="19.8984375" customWidth="1"/>
    <col min="3" max="4" width="18.69921875" customWidth="1"/>
    <col min="5" max="5" width="17.59765625" style="22" customWidth="1"/>
    <col min="6" max="6" width="19.3984375" style="1" customWidth="1"/>
    <col min="7" max="7" width="23.19921875" style="1" customWidth="1"/>
    <col min="8" max="10" width="14.8984375" style="1" customWidth="1"/>
    <col min="11" max="11" width="14.8984375" customWidth="1"/>
    <col min="12" max="12" width="18.296875" customWidth="1"/>
    <col min="13" max="13" width="19.3984375" customWidth="1"/>
    <col min="14" max="14" width="15.59765625" style="1" customWidth="1"/>
    <col min="15" max="15" width="16" customWidth="1"/>
  </cols>
  <sheetData>
    <row r="1" spans="1:14" x14ac:dyDescent="0.3">
      <c r="E1" s="339"/>
      <c r="F1" s="71"/>
      <c r="G1" s="71"/>
      <c r="H1" s="71"/>
      <c r="I1" s="71"/>
      <c r="J1" s="71"/>
      <c r="N1" s="71"/>
    </row>
    <row r="2" spans="1:14" x14ac:dyDescent="0.3">
      <c r="E2" s="627" t="s">
        <v>337</v>
      </c>
      <c r="F2" s="627"/>
      <c r="G2" s="627"/>
      <c r="H2" s="627"/>
      <c r="I2" s="627"/>
      <c r="J2" s="71"/>
      <c r="N2" s="71"/>
    </row>
    <row r="3" spans="1:14" x14ac:dyDescent="0.3">
      <c r="E3" s="339"/>
      <c r="F3" s="71"/>
      <c r="G3" s="71"/>
      <c r="H3" s="71"/>
      <c r="I3" s="71"/>
      <c r="J3" s="71"/>
      <c r="N3" s="71"/>
    </row>
    <row r="4" spans="1:14" ht="74.5" customHeight="1" thickBot="1" x14ac:dyDescent="0.35">
      <c r="A4" s="340" t="s">
        <v>3</v>
      </c>
      <c r="B4" s="341" t="s">
        <v>156</v>
      </c>
      <c r="C4" s="341" t="s">
        <v>228</v>
      </c>
      <c r="D4" s="341" t="s">
        <v>338</v>
      </c>
      <c r="E4" s="341" t="s">
        <v>229</v>
      </c>
      <c r="F4" s="341" t="s">
        <v>287</v>
      </c>
      <c r="G4" s="341" t="s">
        <v>230</v>
      </c>
      <c r="H4" s="341" t="s">
        <v>155</v>
      </c>
      <c r="I4" s="341" t="s">
        <v>27</v>
      </c>
      <c r="J4" s="341" t="s">
        <v>141</v>
      </c>
      <c r="K4" s="342" t="s">
        <v>142</v>
      </c>
      <c r="L4" s="343" t="s">
        <v>231</v>
      </c>
      <c r="M4" s="343" t="s">
        <v>232</v>
      </c>
    </row>
    <row r="5" spans="1:14" ht="60.5" customHeight="1" x14ac:dyDescent="0.3">
      <c r="A5" s="631" t="s">
        <v>34</v>
      </c>
      <c r="B5" s="628">
        <v>23359481.530000001</v>
      </c>
      <c r="C5" s="344" t="s">
        <v>239</v>
      </c>
      <c r="D5" s="344"/>
      <c r="E5" s="344">
        <v>5126055.32</v>
      </c>
      <c r="F5" s="628">
        <f>E5+E6+E7+E9+E11</f>
        <v>17933214.579999998</v>
      </c>
      <c r="G5" s="345">
        <v>5126055.32</v>
      </c>
      <c r="H5" s="346">
        <v>2023</v>
      </c>
      <c r="I5" s="634" t="s">
        <v>38</v>
      </c>
      <c r="J5" s="347">
        <v>45638</v>
      </c>
      <c r="K5" s="348" t="s">
        <v>240</v>
      </c>
      <c r="L5" s="637">
        <f>G5+G6+G7+G9+G10+G11</f>
        <v>17868714.73</v>
      </c>
      <c r="M5" s="637">
        <f>F5-L5</f>
        <v>64499.849999997765</v>
      </c>
    </row>
    <row r="6" spans="1:14" ht="57" customHeight="1" x14ac:dyDescent="0.3">
      <c r="A6" s="632"/>
      <c r="B6" s="629"/>
      <c r="C6" s="344" t="s">
        <v>241</v>
      </c>
      <c r="D6" s="344"/>
      <c r="E6" s="344">
        <v>3203788.85</v>
      </c>
      <c r="F6" s="629"/>
      <c r="G6" s="349">
        <v>3203788.85</v>
      </c>
      <c r="H6" s="634">
        <v>2024</v>
      </c>
      <c r="I6" s="635"/>
      <c r="J6" s="347">
        <v>45326</v>
      </c>
      <c r="K6" s="348" t="s">
        <v>152</v>
      </c>
      <c r="L6" s="638"/>
      <c r="M6" s="638"/>
    </row>
    <row r="7" spans="1:14" ht="49.5" customHeight="1" x14ac:dyDescent="0.3">
      <c r="A7" s="632"/>
      <c r="B7" s="629"/>
      <c r="C7" s="628" t="s">
        <v>242</v>
      </c>
      <c r="D7" s="628"/>
      <c r="E7" s="628">
        <v>3240460.56</v>
      </c>
      <c r="F7" s="629"/>
      <c r="G7" s="640">
        <v>3240460.56</v>
      </c>
      <c r="H7" s="635"/>
      <c r="I7" s="635"/>
      <c r="J7" s="642">
        <v>45375</v>
      </c>
      <c r="K7" s="643" t="s">
        <v>154</v>
      </c>
      <c r="L7" s="638"/>
      <c r="M7" s="638"/>
    </row>
    <row r="8" spans="1:14" ht="47" customHeight="1" x14ac:dyDescent="0.3">
      <c r="A8" s="632"/>
      <c r="B8" s="629"/>
      <c r="C8" s="630"/>
      <c r="D8" s="630"/>
      <c r="E8" s="630"/>
      <c r="F8" s="629"/>
      <c r="G8" s="641"/>
      <c r="H8" s="635"/>
      <c r="I8" s="635"/>
      <c r="J8" s="642"/>
      <c r="K8" s="643"/>
      <c r="L8" s="638"/>
      <c r="M8" s="638"/>
    </row>
    <row r="9" spans="1:14" ht="53" customHeight="1" x14ac:dyDescent="0.3">
      <c r="A9" s="632"/>
      <c r="B9" s="629"/>
      <c r="C9" s="644" t="s">
        <v>243</v>
      </c>
      <c r="D9" s="628"/>
      <c r="E9" s="644">
        <v>4298410.2</v>
      </c>
      <c r="F9" s="629"/>
      <c r="G9" s="350">
        <v>2000000</v>
      </c>
      <c r="H9" s="635"/>
      <c r="I9" s="635"/>
      <c r="J9" s="347">
        <v>45432</v>
      </c>
      <c r="K9" s="351" t="s">
        <v>153</v>
      </c>
      <c r="L9" s="638"/>
      <c r="M9" s="638"/>
    </row>
    <row r="10" spans="1:14" ht="43" customHeight="1" x14ac:dyDescent="0.3">
      <c r="A10" s="632"/>
      <c r="B10" s="629"/>
      <c r="C10" s="644"/>
      <c r="D10" s="630"/>
      <c r="E10" s="644"/>
      <c r="F10" s="629"/>
      <c r="G10" s="352">
        <v>2298410</v>
      </c>
      <c r="H10" s="635"/>
      <c r="I10" s="636"/>
      <c r="J10" s="347">
        <v>45467</v>
      </c>
      <c r="K10" s="348" t="s">
        <v>158</v>
      </c>
      <c r="L10" s="638"/>
      <c r="M10" s="638"/>
    </row>
    <row r="11" spans="1:14" ht="77.5" customHeight="1" x14ac:dyDescent="0.3">
      <c r="A11" s="633"/>
      <c r="B11" s="630"/>
      <c r="C11" s="344" t="s">
        <v>250</v>
      </c>
      <c r="D11" s="316"/>
      <c r="E11" s="354">
        <v>2064499.65</v>
      </c>
      <c r="F11" s="630"/>
      <c r="G11" s="352">
        <v>2000000</v>
      </c>
      <c r="H11" s="636"/>
      <c r="I11" s="355" t="s">
        <v>18</v>
      </c>
      <c r="J11" s="356">
        <v>45627</v>
      </c>
      <c r="K11" s="353" t="s">
        <v>339</v>
      </c>
      <c r="L11" s="639"/>
      <c r="M11" s="639"/>
    </row>
    <row r="18" spans="8:8" x14ac:dyDescent="0.3">
      <c r="H18" s="36" t="s">
        <v>1</v>
      </c>
    </row>
  </sheetData>
  <mergeCells count="17">
    <mergeCell ref="M5:M11"/>
    <mergeCell ref="E2:I2"/>
    <mergeCell ref="B5:B11"/>
    <mergeCell ref="A5:A11"/>
    <mergeCell ref="H6:H11"/>
    <mergeCell ref="L5:L11"/>
    <mergeCell ref="D7:D8"/>
    <mergeCell ref="D9:D10"/>
    <mergeCell ref="F5:F11"/>
    <mergeCell ref="C7:C8"/>
    <mergeCell ref="E7:E8"/>
    <mergeCell ref="G7:G8"/>
    <mergeCell ref="J7:J8"/>
    <mergeCell ref="K7:K8"/>
    <mergeCell ref="C9:C10"/>
    <mergeCell ref="E9:E10"/>
    <mergeCell ref="I5:I10"/>
  </mergeCells>
  <phoneticPr fontId="15" type="noConversion"/>
  <pageMargins left="0.7" right="0.7" top="0.75" bottom="0.75" header="0.3" footer="0.3"/>
  <pageSetup paperSize="9" scale="56" fitToHeight="0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8"/>
  <sheetViews>
    <sheetView view="pageBreakPreview" zoomScale="60" zoomScaleNormal="80" workbookViewId="0">
      <selection activeCell="B5" sqref="B5:B15"/>
    </sheetView>
  </sheetViews>
  <sheetFormatPr baseColWidth="10" defaultRowHeight="13" x14ac:dyDescent="0.3"/>
  <cols>
    <col min="2" max="2" width="15.19921875" customWidth="1"/>
    <col min="3" max="3" width="19.8984375" customWidth="1"/>
    <col min="4" max="4" width="16.3984375" customWidth="1"/>
    <col min="5" max="5" width="19.3984375" style="1" customWidth="1"/>
    <col min="6" max="6" width="23.19921875" style="1" customWidth="1"/>
    <col min="7" max="9" width="14.8984375" style="1" customWidth="1"/>
    <col min="10" max="10" width="14.8984375" customWidth="1"/>
    <col min="11" max="11" width="19.796875" customWidth="1"/>
    <col min="12" max="12" width="19.3984375" customWidth="1"/>
    <col min="13" max="13" width="15.59765625" style="1" customWidth="1"/>
    <col min="14" max="14" width="16" customWidth="1"/>
  </cols>
  <sheetData>
    <row r="1" spans="1:13" x14ac:dyDescent="0.3">
      <c r="E1" s="71"/>
      <c r="F1" s="71"/>
      <c r="G1" s="71"/>
      <c r="H1" s="71"/>
      <c r="I1" s="71"/>
      <c r="M1" s="71"/>
    </row>
    <row r="2" spans="1:13" x14ac:dyDescent="0.3">
      <c r="E2" s="71"/>
      <c r="F2" s="71"/>
      <c r="G2" s="71"/>
      <c r="H2" s="71"/>
      <c r="I2" s="71"/>
      <c r="M2" s="71"/>
    </row>
    <row r="3" spans="1:13" x14ac:dyDescent="0.3">
      <c r="E3" s="71"/>
      <c r="F3" s="71"/>
      <c r="G3" s="71"/>
      <c r="H3" s="71"/>
      <c r="I3" s="71"/>
      <c r="M3" s="71"/>
    </row>
    <row r="4" spans="1:13" ht="58" x14ac:dyDescent="0.3">
      <c r="A4" s="136" t="s">
        <v>244</v>
      </c>
      <c r="B4" s="136" t="s">
        <v>3</v>
      </c>
      <c r="C4" s="137" t="s">
        <v>156</v>
      </c>
      <c r="D4" s="137" t="s">
        <v>228</v>
      </c>
      <c r="E4" s="137" t="s">
        <v>229</v>
      </c>
      <c r="F4" s="137" t="s">
        <v>230</v>
      </c>
      <c r="G4" s="137" t="s">
        <v>155</v>
      </c>
      <c r="H4" s="137" t="s">
        <v>27</v>
      </c>
      <c r="I4" s="137" t="s">
        <v>141</v>
      </c>
      <c r="J4" s="137" t="s">
        <v>142</v>
      </c>
      <c r="K4" s="138" t="s">
        <v>231</v>
      </c>
      <c r="L4" s="138" t="s">
        <v>232</v>
      </c>
    </row>
    <row r="5" spans="1:13" ht="30.5" customHeight="1" x14ac:dyDescent="0.3">
      <c r="A5" s="621"/>
      <c r="B5" s="621" t="s">
        <v>249</v>
      </c>
      <c r="C5" s="645">
        <v>137939425.77000001</v>
      </c>
      <c r="D5" s="199" t="s">
        <v>239</v>
      </c>
      <c r="E5" s="199">
        <v>18721458.829999998</v>
      </c>
      <c r="F5" s="200">
        <v>53000000</v>
      </c>
      <c r="G5" s="619">
        <v>2023</v>
      </c>
      <c r="H5" s="648" t="s">
        <v>38</v>
      </c>
      <c r="I5" s="131">
        <v>45194</v>
      </c>
      <c r="J5" s="156">
        <v>4078500</v>
      </c>
      <c r="K5" s="620">
        <f>F5+F6</f>
        <v>100031303</v>
      </c>
      <c r="L5" s="620">
        <f>C5-K5</f>
        <v>37908122.770000011</v>
      </c>
    </row>
    <row r="6" spans="1:13" ht="23.5" customHeight="1" x14ac:dyDescent="0.3">
      <c r="A6" s="621"/>
      <c r="B6" s="621"/>
      <c r="C6" s="645"/>
      <c r="D6" s="199" t="s">
        <v>241</v>
      </c>
      <c r="E6" s="199">
        <v>28309845.149999999</v>
      </c>
      <c r="F6" s="213">
        <v>47031303</v>
      </c>
      <c r="G6" s="619"/>
      <c r="H6" s="648"/>
      <c r="I6" s="131">
        <v>45194</v>
      </c>
      <c r="J6" s="156">
        <v>4078499</v>
      </c>
      <c r="K6" s="614"/>
      <c r="L6" s="614"/>
    </row>
    <row r="7" spans="1:13" ht="13" customHeight="1" x14ac:dyDescent="0.3">
      <c r="A7" s="621"/>
      <c r="B7" s="621"/>
      <c r="C7" s="645"/>
      <c r="D7" s="645" t="s">
        <v>242</v>
      </c>
      <c r="E7" s="645">
        <v>20862218.5</v>
      </c>
      <c r="F7" s="646"/>
      <c r="G7" s="619"/>
      <c r="H7" s="648"/>
      <c r="I7" s="647"/>
      <c r="J7" s="622"/>
      <c r="K7" s="614"/>
      <c r="L7" s="614"/>
    </row>
    <row r="8" spans="1:13" ht="13" customHeight="1" x14ac:dyDescent="0.3">
      <c r="A8" s="621"/>
      <c r="B8" s="621"/>
      <c r="C8" s="645"/>
      <c r="D8" s="645"/>
      <c r="E8" s="645"/>
      <c r="F8" s="646"/>
      <c r="G8" s="619"/>
      <c r="H8" s="648"/>
      <c r="I8" s="647"/>
      <c r="J8" s="622"/>
      <c r="K8" s="614"/>
      <c r="L8" s="614"/>
    </row>
    <row r="9" spans="1:13" ht="19.5" customHeight="1" x14ac:dyDescent="0.3">
      <c r="A9" s="621"/>
      <c r="B9" s="621"/>
      <c r="C9" s="645"/>
      <c r="D9" s="645" t="s">
        <v>243</v>
      </c>
      <c r="E9" s="645">
        <v>21936032</v>
      </c>
      <c r="F9" s="652"/>
      <c r="G9" s="619"/>
      <c r="H9" s="648"/>
      <c r="I9" s="131"/>
      <c r="J9" s="214"/>
      <c r="K9" s="614"/>
      <c r="L9" s="614"/>
    </row>
    <row r="10" spans="1:13" ht="34.5" customHeight="1" x14ac:dyDescent="0.3">
      <c r="A10" s="621"/>
      <c r="B10" s="621"/>
      <c r="C10" s="645"/>
      <c r="D10" s="645"/>
      <c r="E10" s="645"/>
      <c r="F10" s="653"/>
      <c r="G10" s="619"/>
      <c r="H10" s="648"/>
      <c r="I10" s="131"/>
      <c r="J10" s="130"/>
      <c r="K10" s="614"/>
      <c r="L10" s="614"/>
    </row>
    <row r="11" spans="1:13" ht="24" customHeight="1" x14ac:dyDescent="0.3">
      <c r="A11" s="621"/>
      <c r="B11" s="621"/>
      <c r="C11" s="645"/>
      <c r="D11" s="645" t="s">
        <v>250</v>
      </c>
      <c r="E11" s="649">
        <v>23113654.379999999</v>
      </c>
      <c r="F11" s="651"/>
      <c r="G11" s="619"/>
      <c r="H11" s="648"/>
      <c r="I11" s="143"/>
      <c r="J11" s="6"/>
      <c r="K11" s="7"/>
      <c r="L11" s="6"/>
    </row>
    <row r="12" spans="1:13" ht="21" customHeight="1" x14ac:dyDescent="0.3">
      <c r="A12" s="621"/>
      <c r="B12" s="621"/>
      <c r="C12" s="645"/>
      <c r="D12" s="645"/>
      <c r="E12" s="649"/>
      <c r="F12" s="651"/>
      <c r="G12" s="619"/>
      <c r="H12" s="648"/>
      <c r="I12" s="143"/>
      <c r="J12" s="6"/>
      <c r="K12" s="6"/>
      <c r="L12" s="6"/>
    </row>
    <row r="13" spans="1:13" ht="13" customHeight="1" x14ac:dyDescent="0.3">
      <c r="A13" s="621"/>
      <c r="B13" s="621"/>
      <c r="C13" s="645"/>
      <c r="D13" s="645" t="s">
        <v>251</v>
      </c>
      <c r="E13" s="650">
        <v>18099245.629999999</v>
      </c>
      <c r="F13" s="651"/>
      <c r="G13" s="619"/>
      <c r="H13" s="648"/>
      <c r="I13" s="143"/>
      <c r="J13" s="6"/>
      <c r="K13" s="6"/>
      <c r="L13" s="6"/>
    </row>
    <row r="14" spans="1:13" ht="13" customHeight="1" x14ac:dyDescent="0.3">
      <c r="A14" s="621"/>
      <c r="B14" s="621"/>
      <c r="C14" s="645"/>
      <c r="D14" s="645"/>
      <c r="E14" s="650"/>
      <c r="F14" s="651"/>
      <c r="G14" s="619"/>
      <c r="H14" s="648"/>
      <c r="I14" s="143"/>
      <c r="J14" s="6"/>
      <c r="K14" s="6"/>
      <c r="L14" s="6"/>
    </row>
    <row r="15" spans="1:13" ht="38.5" customHeight="1" x14ac:dyDescent="0.3">
      <c r="A15" s="621"/>
      <c r="B15" s="621"/>
      <c r="C15" s="645"/>
      <c r="D15" s="215" t="s">
        <v>252</v>
      </c>
      <c r="E15" s="143">
        <v>6896971.29</v>
      </c>
      <c r="F15" s="143"/>
      <c r="G15" s="619"/>
      <c r="H15" s="648"/>
      <c r="I15" s="143"/>
      <c r="J15" s="6"/>
      <c r="K15" s="6"/>
      <c r="L15" s="6"/>
    </row>
    <row r="16" spans="1:13" x14ac:dyDescent="0.3">
      <c r="E16" s="1">
        <f>SUM(E5:E15)</f>
        <v>137939425.77999997</v>
      </c>
    </row>
    <row r="18" spans="7:7" x14ac:dyDescent="0.3">
      <c r="G18" s="36" t="s">
        <v>1</v>
      </c>
    </row>
  </sheetData>
  <mergeCells count="21">
    <mergeCell ref="L5:L10"/>
    <mergeCell ref="D7:D8"/>
    <mergeCell ref="E7:E8"/>
    <mergeCell ref="F7:F8"/>
    <mergeCell ref="I7:I8"/>
    <mergeCell ref="J7:J8"/>
    <mergeCell ref="D9:D10"/>
    <mergeCell ref="E9:E10"/>
    <mergeCell ref="G5:G15"/>
    <mergeCell ref="H5:H15"/>
    <mergeCell ref="E11:E12"/>
    <mergeCell ref="E13:E14"/>
    <mergeCell ref="K5:K10"/>
    <mergeCell ref="F11:F12"/>
    <mergeCell ref="F13:F14"/>
    <mergeCell ref="F9:F10"/>
    <mergeCell ref="C5:C15"/>
    <mergeCell ref="B5:B15"/>
    <mergeCell ref="A5:A15"/>
    <mergeCell ref="D13:D14"/>
    <mergeCell ref="D11:D12"/>
  </mergeCells>
  <pageMargins left="0.7" right="0.7" top="0.75" bottom="0.75" header="0.3" footer="0.3"/>
  <pageSetup paperSize="9" scale="71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2:P15"/>
  <sheetViews>
    <sheetView view="pageBreakPreview" zoomScale="46" zoomScaleNormal="78" workbookViewId="0">
      <selection activeCell="D2" sqref="D2"/>
    </sheetView>
  </sheetViews>
  <sheetFormatPr baseColWidth="10" defaultRowHeight="13" x14ac:dyDescent="0.3"/>
  <cols>
    <col min="2" max="2" width="15.59765625" customWidth="1"/>
    <col min="3" max="4" width="15" customWidth="1"/>
    <col min="5" max="5" width="21" customWidth="1"/>
    <col min="7" max="7" width="15.296875" customWidth="1"/>
    <col min="8" max="8" width="17" customWidth="1"/>
    <col min="9" max="9" width="21.69921875" customWidth="1"/>
    <col min="10" max="10" width="17.8984375" customWidth="1"/>
    <col min="11" max="11" width="18.3984375" customWidth="1"/>
  </cols>
  <sheetData>
    <row r="2" spans="1:16" x14ac:dyDescent="0.3">
      <c r="A2" s="613"/>
      <c r="B2" s="612"/>
      <c r="C2" s="49"/>
      <c r="D2" s="49"/>
      <c r="E2" s="49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</row>
    <row r="3" spans="1:16" x14ac:dyDescent="0.3">
      <c r="A3" s="613"/>
      <c r="B3" s="612"/>
      <c r="C3" s="49"/>
      <c r="D3" s="49"/>
      <c r="E3" s="49"/>
      <c r="F3" s="663"/>
      <c r="G3" s="663"/>
      <c r="H3" s="663"/>
      <c r="I3" s="663"/>
      <c r="J3" s="663"/>
      <c r="K3" s="663"/>
      <c r="L3" s="663"/>
      <c r="M3" s="663"/>
      <c r="N3" s="663"/>
      <c r="O3" s="663"/>
      <c r="P3" s="663"/>
    </row>
    <row r="4" spans="1:16" ht="29.5" customHeight="1" x14ac:dyDescent="0.3">
      <c r="F4" s="544" t="s">
        <v>11</v>
      </c>
      <c r="G4" s="544"/>
      <c r="H4" s="544"/>
      <c r="I4" s="544"/>
      <c r="J4" s="544"/>
      <c r="K4" s="544"/>
      <c r="L4" s="544"/>
      <c r="M4" s="544"/>
      <c r="N4" s="544"/>
      <c r="O4" s="544"/>
      <c r="P4" s="544"/>
    </row>
    <row r="5" spans="1:16" ht="38" customHeight="1" x14ac:dyDescent="0.3">
      <c r="F5" s="544" t="s">
        <v>367</v>
      </c>
      <c r="G5" s="544"/>
      <c r="H5" s="544"/>
      <c r="I5" s="544"/>
      <c r="J5" s="544"/>
      <c r="K5" s="544"/>
    </row>
    <row r="6" spans="1:16" ht="42" customHeight="1" x14ac:dyDescent="0.3">
      <c r="B6" s="655"/>
      <c r="C6" s="655"/>
      <c r="D6" s="655"/>
      <c r="E6" s="655"/>
      <c r="F6" s="655"/>
      <c r="G6" s="655"/>
      <c r="H6" s="655"/>
      <c r="I6" s="655"/>
      <c r="J6" s="655"/>
      <c r="K6" s="656"/>
    </row>
    <row r="7" spans="1:16" ht="29.5" customHeight="1" x14ac:dyDescent="0.3">
      <c r="A7" s="6"/>
      <c r="B7" s="19" t="s">
        <v>19</v>
      </c>
      <c r="C7" s="19" t="s">
        <v>180</v>
      </c>
      <c r="D7" s="19" t="s">
        <v>366</v>
      </c>
      <c r="E7" s="19" t="s">
        <v>308</v>
      </c>
      <c r="F7" s="20" t="s">
        <v>6</v>
      </c>
      <c r="G7" s="654" t="s">
        <v>12</v>
      </c>
      <c r="H7" s="654"/>
      <c r="I7" s="20" t="s">
        <v>126</v>
      </c>
      <c r="J7" s="388" t="s">
        <v>16</v>
      </c>
      <c r="K7" s="389" t="s">
        <v>276</v>
      </c>
    </row>
    <row r="8" spans="1:16" ht="36.5" customHeight="1" x14ac:dyDescent="0.3">
      <c r="A8" s="668" t="s">
        <v>131</v>
      </c>
      <c r="B8" s="659">
        <v>1520000</v>
      </c>
      <c r="C8" s="664" t="s">
        <v>181</v>
      </c>
      <c r="D8" s="660">
        <v>45525</v>
      </c>
      <c r="E8" s="601">
        <v>1451200</v>
      </c>
      <c r="F8" s="9"/>
      <c r="G8" s="77" t="s">
        <v>13</v>
      </c>
      <c r="H8" s="30">
        <v>200000</v>
      </c>
      <c r="I8" s="665" t="s">
        <v>18</v>
      </c>
      <c r="J8" s="608">
        <f>SUM(H8:H15)</f>
        <v>1270000</v>
      </c>
      <c r="K8" s="659">
        <f>E8-J8</f>
        <v>181200</v>
      </c>
    </row>
    <row r="9" spans="1:16" ht="36.5" customHeight="1" x14ac:dyDescent="0.3">
      <c r="A9" s="669"/>
      <c r="B9" s="610"/>
      <c r="C9" s="661"/>
      <c r="D9" s="661"/>
      <c r="E9" s="602"/>
      <c r="F9" s="10">
        <v>45466</v>
      </c>
      <c r="G9" s="77" t="s">
        <v>130</v>
      </c>
      <c r="H9" s="30">
        <v>100000</v>
      </c>
      <c r="I9" s="666"/>
      <c r="J9" s="608"/>
      <c r="K9" s="610"/>
    </row>
    <row r="10" spans="1:16" ht="23" customHeight="1" x14ac:dyDescent="0.3">
      <c r="A10" s="669"/>
      <c r="B10" s="610"/>
      <c r="C10" s="661"/>
      <c r="D10" s="661"/>
      <c r="E10" s="602"/>
      <c r="F10" s="657">
        <v>45494</v>
      </c>
      <c r="G10" s="658" t="s">
        <v>68</v>
      </c>
      <c r="H10" s="608">
        <v>170000</v>
      </c>
      <c r="I10" s="666"/>
      <c r="J10" s="608"/>
      <c r="K10" s="610"/>
    </row>
    <row r="11" spans="1:16" ht="47" customHeight="1" x14ac:dyDescent="0.3">
      <c r="A11" s="669"/>
      <c r="B11" s="610"/>
      <c r="C11" s="661"/>
      <c r="D11" s="661"/>
      <c r="E11" s="602"/>
      <c r="F11" s="657"/>
      <c r="G11" s="658"/>
      <c r="H11" s="608"/>
      <c r="I11" s="666"/>
      <c r="J11" s="608"/>
      <c r="K11" s="610"/>
    </row>
    <row r="12" spans="1:16" ht="39" customHeight="1" x14ac:dyDescent="0.3">
      <c r="A12" s="669"/>
      <c r="B12" s="610"/>
      <c r="C12" s="661"/>
      <c r="D12" s="661"/>
      <c r="E12" s="602"/>
      <c r="F12" s="10">
        <v>45553</v>
      </c>
      <c r="G12" s="77" t="s">
        <v>69</v>
      </c>
      <c r="H12" s="30">
        <v>100000</v>
      </c>
      <c r="I12" s="666"/>
      <c r="J12" s="608"/>
      <c r="K12" s="610"/>
    </row>
    <row r="13" spans="1:16" ht="40" customHeight="1" x14ac:dyDescent="0.3">
      <c r="A13" s="669"/>
      <c r="B13" s="610"/>
      <c r="C13" s="661"/>
      <c r="D13" s="661"/>
      <c r="E13" s="602"/>
      <c r="F13" s="10">
        <v>45554</v>
      </c>
      <c r="G13" s="77" t="s">
        <v>70</v>
      </c>
      <c r="H13" s="30">
        <v>200000</v>
      </c>
      <c r="I13" s="666"/>
      <c r="J13" s="608"/>
      <c r="K13" s="610"/>
    </row>
    <row r="14" spans="1:16" ht="32" customHeight="1" x14ac:dyDescent="0.3">
      <c r="A14" s="669"/>
      <c r="B14" s="610"/>
      <c r="C14" s="661"/>
      <c r="D14" s="661"/>
      <c r="E14" s="602"/>
      <c r="F14" s="10">
        <v>45565</v>
      </c>
      <c r="G14" s="77" t="s">
        <v>139</v>
      </c>
      <c r="H14" s="30">
        <v>200000</v>
      </c>
      <c r="I14" s="666"/>
      <c r="J14" s="608"/>
      <c r="K14" s="610"/>
    </row>
    <row r="15" spans="1:16" ht="31.5" customHeight="1" x14ac:dyDescent="0.3">
      <c r="A15" s="669"/>
      <c r="B15" s="611"/>
      <c r="C15" s="662"/>
      <c r="D15" s="662"/>
      <c r="E15" s="603"/>
      <c r="F15" s="10">
        <v>45579</v>
      </c>
      <c r="G15" s="77" t="s">
        <v>159</v>
      </c>
      <c r="H15" s="30">
        <v>300000</v>
      </c>
      <c r="I15" s="667"/>
      <c r="J15" s="608"/>
      <c r="K15" s="611"/>
    </row>
  </sheetData>
  <mergeCells count="18">
    <mergeCell ref="A8:A15"/>
    <mergeCell ref="B2:B3"/>
    <mergeCell ref="A2:A3"/>
    <mergeCell ref="F2:P3"/>
    <mergeCell ref="F4:P4"/>
    <mergeCell ref="F5:K5"/>
    <mergeCell ref="G7:H7"/>
    <mergeCell ref="B6:K6"/>
    <mergeCell ref="F10:F11"/>
    <mergeCell ref="G10:G11"/>
    <mergeCell ref="H10:H11"/>
    <mergeCell ref="J8:J15"/>
    <mergeCell ref="B8:B15"/>
    <mergeCell ref="D8:D15"/>
    <mergeCell ref="C8:C15"/>
    <mergeCell ref="E8:E15"/>
    <mergeCell ref="I8:I15"/>
    <mergeCell ref="K8:K15"/>
  </mergeCells>
  <pageMargins left="0.7" right="0.7" top="0.75" bottom="0.75" header="0.3" footer="0.3"/>
  <pageSetup paperSize="9" scale="72" orientation="landscape" horizontalDpi="300" verticalDpi="300" r:id="rId1"/>
  <colBreaks count="1" manualBreakCount="1">
    <brk id="13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  <pageSetUpPr fitToPage="1"/>
  </sheetPr>
  <dimension ref="A1:BQ17"/>
  <sheetViews>
    <sheetView view="pageLayout" topLeftCell="A5" zoomScale="50" zoomScaleNormal="67" zoomScalePageLayoutView="50" workbookViewId="0">
      <selection activeCell="M7" sqref="M7:M16"/>
    </sheetView>
  </sheetViews>
  <sheetFormatPr baseColWidth="10" defaultRowHeight="13" x14ac:dyDescent="0.3"/>
  <cols>
    <col min="1" max="1" width="24.59765625" customWidth="1"/>
    <col min="2" max="2" width="8.796875" customWidth="1"/>
    <col min="3" max="3" width="10.09765625" customWidth="1"/>
    <col min="4" max="4" width="28.69921875" customWidth="1"/>
    <col min="5" max="5" width="23.296875" customWidth="1"/>
    <col min="6" max="6" width="20.09765625" customWidth="1"/>
    <col min="7" max="7" width="21.69921875" style="3" customWidth="1"/>
    <col min="8" max="8" width="12.3984375" customWidth="1"/>
    <col min="9" max="9" width="11.59765625" customWidth="1"/>
    <col min="10" max="10" width="13.59765625" customWidth="1"/>
    <col min="11" max="11" width="23.09765625" customWidth="1"/>
    <col min="12" max="12" width="23.8984375" customWidth="1"/>
    <col min="13" max="13" width="22.5" customWidth="1"/>
    <col min="14" max="14" width="22.59765625" customWidth="1"/>
    <col min="15" max="15" width="13.796875" customWidth="1"/>
  </cols>
  <sheetData>
    <row r="1" spans="1:69" x14ac:dyDescent="0.3">
      <c r="A1" s="696"/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</row>
    <row r="2" spans="1:69" x14ac:dyDescent="0.3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</row>
    <row r="3" spans="1:69" ht="30" customHeight="1" x14ac:dyDescent="0.3">
      <c r="A3" s="3"/>
      <c r="B3" s="3"/>
      <c r="C3" s="3"/>
      <c r="D3" s="3"/>
      <c r="E3" s="3"/>
      <c r="F3" s="544" t="s">
        <v>21</v>
      </c>
      <c r="G3" s="544"/>
      <c r="H3" s="544"/>
      <c r="I3" s="544"/>
      <c r="J3" s="544"/>
      <c r="K3" s="544"/>
      <c r="L3" s="544"/>
      <c r="M3" s="544"/>
      <c r="N3" s="544"/>
      <c r="O3" s="544"/>
    </row>
    <row r="4" spans="1:69" ht="25.5" customHeight="1" x14ac:dyDescent="0.3">
      <c r="A4" s="3"/>
      <c r="B4" s="3"/>
      <c r="C4" s="3"/>
      <c r="D4" s="3"/>
      <c r="E4" s="3"/>
      <c r="F4" s="544" t="s">
        <v>22</v>
      </c>
      <c r="G4" s="544"/>
      <c r="H4" s="544"/>
      <c r="I4" s="544"/>
      <c r="J4" s="4"/>
      <c r="K4" s="4"/>
      <c r="L4" s="4"/>
      <c r="M4" s="4"/>
      <c r="N4" s="4"/>
      <c r="O4" s="4"/>
    </row>
    <row r="5" spans="1:69" ht="30" customHeight="1" x14ac:dyDescent="0.35">
      <c r="A5" s="14"/>
      <c r="B5" s="14"/>
      <c r="C5" s="14"/>
      <c r="D5" s="14"/>
      <c r="E5" s="14"/>
      <c r="F5" s="15"/>
      <c r="G5" s="256"/>
      <c r="H5" s="15"/>
      <c r="I5" s="15"/>
      <c r="J5" s="15"/>
      <c r="K5" s="15"/>
      <c r="L5" s="15"/>
      <c r="M5" s="15"/>
      <c r="N5" s="15"/>
      <c r="O5" s="15"/>
    </row>
    <row r="6" spans="1:69" ht="52" customHeight="1" x14ac:dyDescent="0.35">
      <c r="A6" s="377" t="s">
        <v>19</v>
      </c>
      <c r="B6" s="694" t="s">
        <v>23</v>
      </c>
      <c r="C6" s="695"/>
      <c r="D6" s="377" t="s">
        <v>28</v>
      </c>
      <c r="E6" s="377" t="s">
        <v>166</v>
      </c>
      <c r="F6" s="378" t="s">
        <v>161</v>
      </c>
      <c r="G6" s="378" t="s">
        <v>340</v>
      </c>
      <c r="H6" s="697" t="s">
        <v>25</v>
      </c>
      <c r="I6" s="697"/>
      <c r="J6" s="378" t="s">
        <v>27</v>
      </c>
      <c r="K6" s="379" t="s">
        <v>16</v>
      </c>
      <c r="L6" s="379" t="s">
        <v>299</v>
      </c>
      <c r="M6" s="379" t="s">
        <v>361</v>
      </c>
      <c r="N6" s="377" t="s">
        <v>277</v>
      </c>
      <c r="O6" s="8"/>
    </row>
    <row r="7" spans="1:69" ht="36" customHeight="1" x14ac:dyDescent="0.3">
      <c r="A7" s="670">
        <v>5048400</v>
      </c>
      <c r="B7" s="692" t="s">
        <v>24</v>
      </c>
      <c r="C7" s="693"/>
      <c r="D7" s="380">
        <v>684150</v>
      </c>
      <c r="E7" s="678">
        <f>SUM(D7:D16)</f>
        <v>5087513.5</v>
      </c>
      <c r="F7" s="381">
        <v>45465</v>
      </c>
      <c r="G7" s="381" t="s">
        <v>321</v>
      </c>
      <c r="H7" s="698">
        <v>500000</v>
      </c>
      <c r="I7" s="698"/>
      <c r="J7" s="681" t="s">
        <v>18</v>
      </c>
      <c r="K7" s="673">
        <f>H7+H8+H9+H10+H11+H12+H14+H13+H16</f>
        <v>4174000</v>
      </c>
      <c r="L7" s="382">
        <v>136830</v>
      </c>
      <c r="M7" s="684">
        <f>SUM(L7:L16)</f>
        <v>913502.7</v>
      </c>
      <c r="N7" s="673">
        <f>E7-K7-M7</f>
        <v>10.800000000046566</v>
      </c>
    </row>
    <row r="8" spans="1:69" ht="39.65" customHeight="1" x14ac:dyDescent="0.3">
      <c r="A8" s="671"/>
      <c r="B8" s="692" t="s">
        <v>35</v>
      </c>
      <c r="C8" s="693"/>
      <c r="D8" s="380">
        <v>667784.5</v>
      </c>
      <c r="E8" s="679"/>
      <c r="F8" s="381">
        <v>45470</v>
      </c>
      <c r="G8" s="381" t="s">
        <v>322</v>
      </c>
      <c r="H8" s="698">
        <v>580000</v>
      </c>
      <c r="I8" s="698"/>
      <c r="J8" s="682"/>
      <c r="K8" s="674"/>
      <c r="L8" s="382">
        <v>133556.9</v>
      </c>
      <c r="M8" s="685"/>
      <c r="N8" s="674"/>
    </row>
    <row r="9" spans="1:69" ht="44.4" customHeight="1" x14ac:dyDescent="0.3">
      <c r="A9" s="671"/>
      <c r="B9" s="699" t="s">
        <v>160</v>
      </c>
      <c r="C9" s="700"/>
      <c r="D9" s="701"/>
      <c r="E9" s="679"/>
      <c r="F9" s="381">
        <v>45488</v>
      </c>
      <c r="G9" s="381" t="s">
        <v>323</v>
      </c>
      <c r="H9" s="691">
        <v>400000</v>
      </c>
      <c r="I9" s="691"/>
      <c r="J9" s="682"/>
      <c r="K9" s="674"/>
      <c r="L9" s="353"/>
      <c r="M9" s="685"/>
      <c r="N9" s="674"/>
    </row>
    <row r="10" spans="1:69" ht="44.4" customHeight="1" x14ac:dyDescent="0.3">
      <c r="A10" s="671"/>
      <c r="B10" s="699" t="s">
        <v>167</v>
      </c>
      <c r="C10" s="700"/>
      <c r="D10" s="701"/>
      <c r="E10" s="679"/>
      <c r="F10" s="381">
        <v>45504</v>
      </c>
      <c r="G10" s="381" t="s">
        <v>324</v>
      </c>
      <c r="H10" s="691">
        <v>500000</v>
      </c>
      <c r="I10" s="691"/>
      <c r="J10" s="682"/>
      <c r="K10" s="674"/>
      <c r="L10" s="353"/>
      <c r="M10" s="685"/>
      <c r="N10" s="674"/>
    </row>
    <row r="11" spans="1:69" ht="45" customHeight="1" x14ac:dyDescent="0.3">
      <c r="A11" s="671"/>
      <c r="B11" s="692" t="s">
        <v>36</v>
      </c>
      <c r="C11" s="693"/>
      <c r="D11" s="383">
        <v>645478.5</v>
      </c>
      <c r="E11" s="679"/>
      <c r="F11" s="323">
        <v>45515</v>
      </c>
      <c r="G11" s="381" t="s">
        <v>325</v>
      </c>
      <c r="H11" s="691">
        <v>400000</v>
      </c>
      <c r="I11" s="691"/>
      <c r="J11" s="682"/>
      <c r="K11" s="674"/>
      <c r="L11" s="382">
        <v>129095.7</v>
      </c>
      <c r="M11" s="685"/>
      <c r="N11" s="674"/>
    </row>
    <row r="12" spans="1:69" ht="32.4" customHeight="1" x14ac:dyDescent="0.3">
      <c r="A12" s="671"/>
      <c r="B12" s="692" t="s">
        <v>37</v>
      </c>
      <c r="C12" s="693"/>
      <c r="D12" s="383">
        <v>744611.5</v>
      </c>
      <c r="E12" s="679"/>
      <c r="F12" s="323">
        <v>45540</v>
      </c>
      <c r="G12" s="381" t="s">
        <v>326</v>
      </c>
      <c r="H12" s="691">
        <v>218000</v>
      </c>
      <c r="I12" s="691"/>
      <c r="J12" s="682"/>
      <c r="K12" s="674"/>
      <c r="L12" s="382">
        <v>148922.29999999999</v>
      </c>
      <c r="M12" s="685"/>
      <c r="N12" s="674"/>
      <c r="O12" s="1"/>
      <c r="P12" s="2"/>
    </row>
    <row r="13" spans="1:69" ht="32.4" customHeight="1" x14ac:dyDescent="0.3">
      <c r="A13" s="671"/>
      <c r="B13" s="692" t="s">
        <v>245</v>
      </c>
      <c r="C13" s="693"/>
      <c r="D13" s="383">
        <v>110840</v>
      </c>
      <c r="E13" s="679"/>
      <c r="F13" s="323">
        <v>45534</v>
      </c>
      <c r="G13" s="381" t="s">
        <v>358</v>
      </c>
      <c r="H13" s="691">
        <v>200000</v>
      </c>
      <c r="I13" s="691"/>
      <c r="J13" s="682"/>
      <c r="K13" s="674"/>
      <c r="L13" s="382">
        <v>22168</v>
      </c>
      <c r="M13" s="685"/>
      <c r="N13" s="674"/>
    </row>
    <row r="14" spans="1:69" ht="27" customHeight="1" x14ac:dyDescent="0.3">
      <c r="A14" s="671"/>
      <c r="B14" s="692" t="s">
        <v>246</v>
      </c>
      <c r="C14" s="693"/>
      <c r="D14" s="384">
        <v>870000</v>
      </c>
      <c r="E14" s="679"/>
      <c r="F14" s="323">
        <v>45558</v>
      </c>
      <c r="G14" s="381" t="s">
        <v>359</v>
      </c>
      <c r="H14" s="689">
        <v>600000</v>
      </c>
      <c r="I14" s="690"/>
      <c r="J14" s="682"/>
      <c r="K14" s="674"/>
      <c r="L14" s="382">
        <v>174000</v>
      </c>
      <c r="M14" s="685"/>
      <c r="N14" s="674"/>
    </row>
    <row r="15" spans="1:69" s="6" customFormat="1" ht="47" customHeight="1" x14ac:dyDescent="0.3">
      <c r="A15" s="671"/>
      <c r="B15" s="687" t="s">
        <v>247</v>
      </c>
      <c r="C15" s="688"/>
      <c r="D15" s="383">
        <v>520000</v>
      </c>
      <c r="E15" s="679"/>
      <c r="F15" s="353"/>
      <c r="G15" s="353"/>
      <c r="H15" s="672"/>
      <c r="I15" s="672"/>
      <c r="J15" s="682"/>
      <c r="K15" s="674"/>
      <c r="L15" s="382"/>
      <c r="M15" s="685"/>
      <c r="N15" s="674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 ht="54.65" customHeight="1" x14ac:dyDescent="0.3">
      <c r="A16" s="671"/>
      <c r="B16" s="672" t="s">
        <v>357</v>
      </c>
      <c r="C16" s="672"/>
      <c r="D16" s="385">
        <v>844649</v>
      </c>
      <c r="E16" s="680"/>
      <c r="F16" s="323">
        <v>45636</v>
      </c>
      <c r="G16" s="386" t="s">
        <v>360</v>
      </c>
      <c r="H16" s="676">
        <v>776000</v>
      </c>
      <c r="I16" s="677"/>
      <c r="J16" s="683"/>
      <c r="K16" s="675"/>
      <c r="L16" s="321">
        <v>168929.8</v>
      </c>
      <c r="M16" s="686"/>
      <c r="N16" s="675"/>
    </row>
    <row r="17" ht="41.5" customHeight="1" x14ac:dyDescent="0.3"/>
  </sheetData>
  <mergeCells count="31">
    <mergeCell ref="H15:I15"/>
    <mergeCell ref="H8:I8"/>
    <mergeCell ref="H9:I9"/>
    <mergeCell ref="B9:D9"/>
    <mergeCell ref="B10:D10"/>
    <mergeCell ref="A1:O2"/>
    <mergeCell ref="F3:O3"/>
    <mergeCell ref="F4:I4"/>
    <mergeCell ref="H6:I6"/>
    <mergeCell ref="H7:I7"/>
    <mergeCell ref="B6:C6"/>
    <mergeCell ref="B7:C7"/>
    <mergeCell ref="B8:C8"/>
    <mergeCell ref="B11:C11"/>
    <mergeCell ref="B12:C12"/>
    <mergeCell ref="A7:A16"/>
    <mergeCell ref="B16:C16"/>
    <mergeCell ref="N7:N16"/>
    <mergeCell ref="H16:I16"/>
    <mergeCell ref="E7:E16"/>
    <mergeCell ref="K7:K16"/>
    <mergeCell ref="J7:J16"/>
    <mergeCell ref="M7:M16"/>
    <mergeCell ref="B15:C15"/>
    <mergeCell ref="H14:I14"/>
    <mergeCell ref="H11:I11"/>
    <mergeCell ref="H12:I12"/>
    <mergeCell ref="H10:I10"/>
    <mergeCell ref="B13:C13"/>
    <mergeCell ref="B14:C14"/>
    <mergeCell ref="H13:I13"/>
  </mergeCells>
  <phoneticPr fontId="27" type="noConversion"/>
  <pageMargins left="1.1944444444444445E-2" right="0.67083333333333328" top="3.6666666666666667E-2" bottom="0.75" header="0.3" footer="0.3"/>
  <pageSetup paperSize="9" scale="55" orientation="landscape" horizontalDpi="300" verticalDpi="300" r:id="rId1"/>
  <colBreaks count="2" manualBreakCount="2">
    <brk id="14" max="15" man="1"/>
    <brk id="1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  <pageSetUpPr fitToPage="1"/>
  </sheetPr>
  <dimension ref="A1:Q16"/>
  <sheetViews>
    <sheetView zoomScale="68" workbookViewId="0">
      <selection activeCell="M13" sqref="M13"/>
    </sheetView>
  </sheetViews>
  <sheetFormatPr baseColWidth="10" defaultRowHeight="13" x14ac:dyDescent="0.3"/>
  <cols>
    <col min="2" max="6" width="17.3984375" customWidth="1"/>
    <col min="7" max="7" width="18.69921875" style="49" customWidth="1"/>
    <col min="8" max="8" width="13.69921875" customWidth="1"/>
    <col min="9" max="9" width="15.5" style="1" customWidth="1"/>
    <col min="10" max="10" width="17.09765625" customWidth="1"/>
    <col min="11" max="12" width="14.8984375" customWidth="1"/>
    <col min="13" max="13" width="15.8984375" style="1" customWidth="1"/>
  </cols>
  <sheetData>
    <row r="1" spans="1:17" x14ac:dyDescent="0.3">
      <c r="A1" s="543" t="s">
        <v>17</v>
      </c>
      <c r="B1" s="543"/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</row>
    <row r="2" spans="1:17" x14ac:dyDescent="0.3">
      <c r="A2" s="543"/>
      <c r="B2" s="543"/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</row>
    <row r="3" spans="1:17" ht="23" customHeight="1" x14ac:dyDescent="0.3">
      <c r="A3" s="3"/>
      <c r="B3" s="3"/>
      <c r="C3" s="3"/>
      <c r="D3" s="3"/>
      <c r="E3" s="3"/>
      <c r="F3" s="3"/>
      <c r="G3" s="544" t="s">
        <v>29</v>
      </c>
      <c r="H3" s="544"/>
      <c r="I3" s="544"/>
      <c r="J3" s="544"/>
      <c r="K3" s="544"/>
      <c r="L3" s="544"/>
      <c r="M3" s="544"/>
      <c r="N3" s="544"/>
    </row>
    <row r="4" spans="1:17" ht="25.5" customHeight="1" x14ac:dyDescent="0.3">
      <c r="A4" s="3"/>
      <c r="B4" s="3"/>
      <c r="C4" s="3"/>
      <c r="D4" s="3"/>
      <c r="E4" s="3"/>
      <c r="F4" s="3"/>
      <c r="G4" s="239" t="s">
        <v>30</v>
      </c>
      <c r="H4" s="191"/>
      <c r="I4" s="22"/>
      <c r="J4" s="4"/>
      <c r="K4" s="4"/>
      <c r="L4" s="4"/>
      <c r="M4" s="21"/>
      <c r="N4" s="4"/>
    </row>
    <row r="5" spans="1:17" ht="34.25" customHeight="1" x14ac:dyDescent="0.3">
      <c r="G5" s="712"/>
      <c r="H5" s="712"/>
      <c r="I5" s="712"/>
      <c r="J5" s="712"/>
      <c r="K5" s="712"/>
      <c r="L5" s="712"/>
      <c r="M5" s="712"/>
      <c r="N5" s="712"/>
    </row>
    <row r="6" spans="1:17" ht="43.25" customHeight="1" x14ac:dyDescent="0.35">
      <c r="A6" s="59"/>
      <c r="B6" s="13" t="s">
        <v>19</v>
      </c>
      <c r="C6" s="13" t="s">
        <v>353</v>
      </c>
      <c r="D6" s="13" t="s">
        <v>314</v>
      </c>
      <c r="E6" s="13" t="s">
        <v>229</v>
      </c>
      <c r="F6" s="13" t="s">
        <v>335</v>
      </c>
      <c r="G6" s="65" t="s">
        <v>6</v>
      </c>
      <c r="H6" s="614" t="s">
        <v>12</v>
      </c>
      <c r="I6" s="614"/>
      <c r="J6" s="20" t="s">
        <v>27</v>
      </c>
      <c r="K6" s="89" t="s">
        <v>16</v>
      </c>
      <c r="L6" s="20" t="s">
        <v>301</v>
      </c>
      <c r="M6" s="42" t="s">
        <v>20</v>
      </c>
      <c r="N6" s="8"/>
    </row>
    <row r="7" spans="1:17" ht="27.5" customHeight="1" x14ac:dyDescent="0.3">
      <c r="A7" s="705" t="s">
        <v>125</v>
      </c>
      <c r="B7" s="659">
        <v>11582250</v>
      </c>
      <c r="C7" s="706" t="s">
        <v>66</v>
      </c>
      <c r="D7" s="709">
        <v>45623</v>
      </c>
      <c r="E7" s="706">
        <v>8804083</v>
      </c>
      <c r="F7" s="706">
        <v>8804083</v>
      </c>
      <c r="G7" s="657">
        <v>45456</v>
      </c>
      <c r="H7" s="658" t="s">
        <v>13</v>
      </c>
      <c r="I7" s="608">
        <v>1400000</v>
      </c>
      <c r="J7" s="595" t="s">
        <v>18</v>
      </c>
      <c r="K7" s="659">
        <f>I7+I10+I11+I12</f>
        <v>6000000</v>
      </c>
      <c r="L7" s="659">
        <v>440204.15</v>
      </c>
      <c r="M7" s="702">
        <f>F7-K7-L7</f>
        <v>2363878.85</v>
      </c>
    </row>
    <row r="8" spans="1:17" ht="34.5" customHeight="1" x14ac:dyDescent="0.3">
      <c r="A8" s="705"/>
      <c r="B8" s="610"/>
      <c r="C8" s="707"/>
      <c r="D8" s="710"/>
      <c r="E8" s="707"/>
      <c r="F8" s="707"/>
      <c r="G8" s="657"/>
      <c r="H8" s="658"/>
      <c r="I8" s="608"/>
      <c r="J8" s="596"/>
      <c r="K8" s="610"/>
      <c r="L8" s="610"/>
      <c r="M8" s="703"/>
    </row>
    <row r="9" spans="1:17" ht="8" customHeight="1" x14ac:dyDescent="0.3">
      <c r="A9" s="705"/>
      <c r="B9" s="610"/>
      <c r="C9" s="707"/>
      <c r="D9" s="710"/>
      <c r="E9" s="707"/>
      <c r="F9" s="707"/>
      <c r="G9" s="657"/>
      <c r="H9" s="658"/>
      <c r="I9" s="608"/>
      <c r="J9" s="596"/>
      <c r="K9" s="610"/>
      <c r="L9" s="610"/>
      <c r="M9" s="703"/>
    </row>
    <row r="10" spans="1:17" ht="42" customHeight="1" x14ac:dyDescent="0.3">
      <c r="A10" s="705"/>
      <c r="B10" s="610"/>
      <c r="C10" s="707"/>
      <c r="D10" s="710"/>
      <c r="E10" s="707"/>
      <c r="F10" s="707"/>
      <c r="G10" s="238" t="s">
        <v>296</v>
      </c>
      <c r="H10" s="7" t="s">
        <v>130</v>
      </c>
      <c r="I10" s="143">
        <v>800000</v>
      </c>
      <c r="J10" s="596"/>
      <c r="K10" s="610"/>
      <c r="L10" s="610"/>
      <c r="M10" s="703"/>
    </row>
    <row r="11" spans="1:17" ht="40.25" customHeight="1" x14ac:dyDescent="0.3">
      <c r="A11" s="705"/>
      <c r="B11" s="610"/>
      <c r="C11" s="707"/>
      <c r="D11" s="710"/>
      <c r="E11" s="707"/>
      <c r="F11" s="707"/>
      <c r="G11" s="37">
        <v>45523</v>
      </c>
      <c r="H11" s="7" t="s">
        <v>68</v>
      </c>
      <c r="I11" s="29">
        <v>800000</v>
      </c>
      <c r="J11" s="596"/>
      <c r="K11" s="610"/>
      <c r="L11" s="610"/>
      <c r="M11" s="703"/>
    </row>
    <row r="12" spans="1:17" ht="36.65" customHeight="1" x14ac:dyDescent="0.3">
      <c r="A12" s="705"/>
      <c r="B12" s="611"/>
      <c r="C12" s="708"/>
      <c r="D12" s="711"/>
      <c r="E12" s="708"/>
      <c r="F12" s="708"/>
      <c r="G12" s="37">
        <v>45636</v>
      </c>
      <c r="H12" s="7" t="s">
        <v>69</v>
      </c>
      <c r="I12" s="29">
        <v>3000000</v>
      </c>
      <c r="J12" s="597"/>
      <c r="K12" s="611"/>
      <c r="L12" s="611"/>
      <c r="M12" s="704"/>
    </row>
    <row r="13" spans="1:17" ht="15.5" x14ac:dyDescent="0.35">
      <c r="A13" s="307"/>
      <c r="B13" s="369"/>
      <c r="C13" s="369"/>
      <c r="D13" s="369"/>
      <c r="E13" s="369"/>
      <c r="F13" s="369"/>
      <c r="G13" s="369"/>
      <c r="H13" s="369"/>
      <c r="I13" s="370"/>
      <c r="J13" s="371"/>
      <c r="K13" s="371"/>
      <c r="L13" s="372"/>
      <c r="M13" s="373" t="s">
        <v>1</v>
      </c>
      <c r="N13" s="372"/>
      <c r="O13" s="374"/>
      <c r="P13" s="374"/>
      <c r="Q13" s="369"/>
    </row>
    <row r="14" spans="1:17" ht="69.5" customHeight="1" x14ac:dyDescent="0.3">
      <c r="I14" s="70"/>
      <c r="M14" s="70"/>
    </row>
    <row r="15" spans="1:17" ht="44" customHeight="1" x14ac:dyDescent="0.3">
      <c r="I15" s="70"/>
      <c r="M15" s="70"/>
    </row>
    <row r="16" spans="1:17" ht="44.5" customHeight="1" x14ac:dyDescent="0.3"/>
  </sheetData>
  <mergeCells count="17">
    <mergeCell ref="A1:N2"/>
    <mergeCell ref="G3:N3"/>
    <mergeCell ref="G5:N5"/>
    <mergeCell ref="H6:I6"/>
    <mergeCell ref="G7:G9"/>
    <mergeCell ref="H7:H9"/>
    <mergeCell ref="I7:I9"/>
    <mergeCell ref="J7:J12"/>
    <mergeCell ref="K7:K12"/>
    <mergeCell ref="L7:L12"/>
    <mergeCell ref="M7:M12"/>
    <mergeCell ref="A7:A12"/>
    <mergeCell ref="B7:B12"/>
    <mergeCell ref="C7:C12"/>
    <mergeCell ref="D7:D12"/>
    <mergeCell ref="E7:E12"/>
    <mergeCell ref="F7:F12"/>
  </mergeCells>
  <phoneticPr fontId="15" type="noConversion"/>
  <pageMargins left="0.7" right="0.7" top="0.75" bottom="0.75" header="0.3" footer="0.3"/>
  <pageSetup paperSize="9" scale="66" fitToHeight="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3"/>
  <sheetViews>
    <sheetView view="pageBreakPreview" zoomScale="60" zoomScaleNormal="68" workbookViewId="0">
      <selection activeCell="C8" sqref="C8:C9"/>
    </sheetView>
  </sheetViews>
  <sheetFormatPr baseColWidth="10" defaultRowHeight="13" x14ac:dyDescent="0.3"/>
  <cols>
    <col min="1" max="4" width="15.19921875" customWidth="1"/>
    <col min="5" max="5" width="15.296875" customWidth="1"/>
    <col min="6" max="6" width="16.3984375" customWidth="1"/>
    <col min="7" max="7" width="13.796875" style="1" customWidth="1"/>
    <col min="8" max="8" width="17.09765625" style="1" customWidth="1"/>
    <col min="9" max="9" width="17.3984375" style="1" customWidth="1"/>
    <col min="10" max="10" width="18.296875" style="1" customWidth="1"/>
    <col min="11" max="13" width="14.8984375" customWidth="1"/>
    <col min="14" max="14" width="12.59765625" style="1" customWidth="1"/>
    <col min="15" max="15" width="16" customWidth="1"/>
  </cols>
  <sheetData>
    <row r="1" spans="1:15" ht="29" customHeight="1" x14ac:dyDescent="0.3">
      <c r="A1" s="204"/>
      <c r="B1" s="204"/>
      <c r="C1" s="204"/>
      <c r="D1" s="543" t="s">
        <v>17</v>
      </c>
      <c r="E1" s="543"/>
      <c r="F1" s="543"/>
      <c r="G1" s="543"/>
      <c r="H1" s="543"/>
      <c r="I1" s="204"/>
      <c r="J1" s="204"/>
      <c r="K1" s="204"/>
      <c r="L1" s="204"/>
      <c r="M1" s="204"/>
      <c r="N1" s="204"/>
      <c r="O1" s="204"/>
    </row>
    <row r="2" spans="1:15" ht="13" customHeight="1" x14ac:dyDescent="0.3">
      <c r="A2" s="204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</row>
    <row r="3" spans="1:15" ht="23" customHeight="1" x14ac:dyDescent="0.3">
      <c r="A3" s="3"/>
      <c r="B3" s="3"/>
      <c r="C3" s="3"/>
      <c r="D3" s="3"/>
      <c r="E3" s="544" t="s">
        <v>60</v>
      </c>
      <c r="F3" s="544"/>
      <c r="G3" s="544"/>
      <c r="H3" s="544"/>
      <c r="I3" s="544"/>
      <c r="J3" s="544"/>
      <c r="K3" s="544"/>
      <c r="L3" s="544"/>
      <c r="M3" s="544"/>
      <c r="N3" s="544"/>
      <c r="O3" s="544"/>
    </row>
    <row r="4" spans="1:15" ht="25.5" customHeight="1" x14ac:dyDescent="0.3">
      <c r="A4" s="3"/>
      <c r="B4" s="3"/>
      <c r="C4" s="3"/>
      <c r="D4" s="3"/>
      <c r="E4" s="12" t="s">
        <v>61</v>
      </c>
      <c r="F4" s="12"/>
      <c r="G4" s="22"/>
      <c r="H4" s="21"/>
      <c r="I4" s="21"/>
      <c r="J4" s="21"/>
      <c r="K4" s="4"/>
      <c r="L4" s="4"/>
      <c r="M4" s="4"/>
      <c r="N4" s="21"/>
      <c r="O4" s="4"/>
    </row>
    <row r="6" spans="1:15" ht="13.5" thickBot="1" x14ac:dyDescent="0.35">
      <c r="G6"/>
      <c r="H6"/>
      <c r="I6"/>
      <c r="J6"/>
    </row>
    <row r="7" spans="1:15" ht="41" customHeight="1" x14ac:dyDescent="0.3">
      <c r="A7" s="126" t="s">
        <v>3</v>
      </c>
      <c r="B7" s="127" t="s">
        <v>156</v>
      </c>
      <c r="C7" s="127" t="s">
        <v>237</v>
      </c>
      <c r="D7" s="127" t="s">
        <v>229</v>
      </c>
      <c r="E7" s="127" t="s">
        <v>230</v>
      </c>
      <c r="F7" s="127" t="s">
        <v>155</v>
      </c>
      <c r="G7" s="127" t="s">
        <v>141</v>
      </c>
      <c r="H7" s="127" t="s">
        <v>142</v>
      </c>
      <c r="I7" s="129" t="s">
        <v>231</v>
      </c>
      <c r="J7" s="129" t="s">
        <v>232</v>
      </c>
    </row>
    <row r="8" spans="1:15" ht="35" customHeight="1" x14ac:dyDescent="0.3">
      <c r="A8" s="621" t="s">
        <v>236</v>
      </c>
      <c r="B8" s="622">
        <v>27269903.399999999</v>
      </c>
      <c r="C8" s="718"/>
      <c r="D8" s="718"/>
      <c r="E8" s="28">
        <v>2000000</v>
      </c>
      <c r="F8" s="619">
        <v>2023</v>
      </c>
      <c r="G8" s="132">
        <v>45264</v>
      </c>
      <c r="H8" s="130" t="s">
        <v>238</v>
      </c>
      <c r="I8" s="620">
        <f>E8+E9</f>
        <v>2700000</v>
      </c>
      <c r="J8" s="620">
        <f>B8-I8</f>
        <v>24569903.399999999</v>
      </c>
    </row>
    <row r="9" spans="1:15" ht="54" customHeight="1" x14ac:dyDescent="0.3">
      <c r="A9" s="621"/>
      <c r="B9" s="622"/>
      <c r="C9" s="719"/>
      <c r="D9" s="719"/>
      <c r="E9" s="28">
        <v>700000</v>
      </c>
      <c r="F9" s="619"/>
      <c r="G9" s="132" t="s">
        <v>339</v>
      </c>
      <c r="H9" s="130" t="s">
        <v>175</v>
      </c>
      <c r="I9" s="614"/>
      <c r="J9" s="614"/>
    </row>
    <row r="10" spans="1:15" ht="14.5" x14ac:dyDescent="0.3">
      <c r="A10" s="715"/>
      <c r="B10" s="716"/>
      <c r="C10" s="716"/>
      <c r="D10" s="716"/>
      <c r="E10" s="133"/>
      <c r="F10" s="717"/>
      <c r="G10" s="134"/>
      <c r="H10" s="134"/>
      <c r="I10" s="713"/>
      <c r="J10" s="713"/>
    </row>
    <row r="11" spans="1:15" ht="14.5" x14ac:dyDescent="0.3">
      <c r="A11" s="715"/>
      <c r="B11" s="716"/>
      <c r="C11" s="716"/>
      <c r="D11" s="716"/>
      <c r="E11" s="133"/>
      <c r="F11" s="717"/>
      <c r="G11" s="134"/>
      <c r="H11" s="134"/>
      <c r="I11" s="714"/>
      <c r="J11" s="714"/>
    </row>
    <row r="12" spans="1:15" x14ac:dyDescent="0.3">
      <c r="G12"/>
      <c r="H12"/>
      <c r="I12"/>
      <c r="J12"/>
    </row>
    <row r="13" spans="1:15" x14ac:dyDescent="0.3">
      <c r="G13"/>
      <c r="H13"/>
      <c r="I13"/>
      <c r="J13"/>
    </row>
  </sheetData>
  <mergeCells count="16">
    <mergeCell ref="E3:O3"/>
    <mergeCell ref="J8:J9"/>
    <mergeCell ref="D1:H1"/>
    <mergeCell ref="I10:I11"/>
    <mergeCell ref="J10:J11"/>
    <mergeCell ref="A8:A9"/>
    <mergeCell ref="B8:B9"/>
    <mergeCell ref="F8:F9"/>
    <mergeCell ref="I8:I9"/>
    <mergeCell ref="A10:A11"/>
    <mergeCell ref="B10:B11"/>
    <mergeCell ref="C10:C11"/>
    <mergeCell ref="D10:D11"/>
    <mergeCell ref="F10:F11"/>
    <mergeCell ref="C8:C9"/>
    <mergeCell ref="D8:D9"/>
  </mergeCells>
  <pageMargins left="0.25" right="0.25" top="0.75" bottom="0.75" header="0.3" footer="0.3"/>
  <pageSetup paperSize="9" fitToWidth="0" orientation="landscape" horizontalDpi="300" verticalDpi="300" r:id="rId1"/>
  <colBreaks count="1" manualBreakCount="1">
    <brk id="11" max="13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  <pageSetUpPr fitToPage="1"/>
  </sheetPr>
  <dimension ref="A1:O20"/>
  <sheetViews>
    <sheetView view="pageBreakPreview" topLeftCell="A11" zoomScale="46" zoomScaleNormal="77" workbookViewId="0">
      <selection activeCell="A8" sqref="A8:A15"/>
    </sheetView>
  </sheetViews>
  <sheetFormatPr baseColWidth="10" defaultColWidth="17.5" defaultRowHeight="15.5" x14ac:dyDescent="0.3"/>
  <cols>
    <col min="1" max="3" width="17.5" style="307"/>
    <col min="4" max="4" width="17.5" style="314"/>
    <col min="5" max="5" width="17.5" style="327"/>
    <col min="6" max="8" width="17.5" style="315"/>
    <col min="9" max="9" width="23.3984375" style="315" customWidth="1"/>
    <col min="10" max="10" width="19.19921875" style="307" customWidth="1"/>
    <col min="11" max="11" width="17.5" style="315"/>
    <col min="12" max="12" width="17.5" style="307"/>
    <col min="13" max="13" width="18.3984375" style="315" customWidth="1"/>
    <col min="14" max="14" width="17.5" style="315"/>
    <col min="15" max="15" width="19.5" style="307" customWidth="1"/>
    <col min="16" max="16384" width="17.5" style="307"/>
  </cols>
  <sheetData>
    <row r="1" spans="1:15" x14ac:dyDescent="0.3">
      <c r="A1" s="741" t="s">
        <v>17</v>
      </c>
      <c r="B1" s="741"/>
      <c r="C1" s="741"/>
      <c r="D1" s="741"/>
      <c r="E1" s="741"/>
      <c r="F1" s="741"/>
      <c r="G1" s="741"/>
      <c r="H1" s="741"/>
      <c r="I1" s="741"/>
      <c r="J1" s="741"/>
      <c r="K1" s="741"/>
      <c r="L1" s="741"/>
      <c r="M1" s="741"/>
      <c r="N1" s="741"/>
      <c r="O1" s="741"/>
    </row>
    <row r="2" spans="1:15" x14ac:dyDescent="0.3">
      <c r="A2" s="741"/>
      <c r="B2" s="741"/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  <c r="N2" s="741"/>
      <c r="O2" s="741"/>
    </row>
    <row r="3" spans="1:15" ht="23" customHeight="1" x14ac:dyDescent="0.3">
      <c r="A3" s="308"/>
      <c r="B3" s="308"/>
      <c r="C3" s="742" t="s">
        <v>332</v>
      </c>
      <c r="D3" s="742"/>
      <c r="E3" s="742"/>
      <c r="F3" s="742"/>
      <c r="G3" s="742"/>
      <c r="H3" s="742"/>
      <c r="I3" s="742"/>
      <c r="J3" s="742"/>
      <c r="K3" s="742"/>
      <c r="L3" s="742"/>
      <c r="M3" s="742"/>
      <c r="N3" s="742"/>
      <c r="O3" s="742"/>
    </row>
    <row r="4" spans="1:15" ht="25.5" customHeight="1" x14ac:dyDescent="0.35">
      <c r="A4" s="308"/>
      <c r="B4" s="308"/>
      <c r="C4" s="309" t="s">
        <v>333</v>
      </c>
      <c r="D4" s="310"/>
      <c r="E4" s="309" t="s">
        <v>121</v>
      </c>
      <c r="F4" s="311"/>
      <c r="G4" s="311"/>
      <c r="H4" s="312"/>
      <c r="I4" s="312"/>
      <c r="J4" s="313"/>
      <c r="K4" s="312"/>
      <c r="L4" s="313"/>
      <c r="M4" s="312"/>
      <c r="N4" s="312"/>
      <c r="O4" s="313"/>
    </row>
    <row r="5" spans="1:15" x14ac:dyDescent="0.3">
      <c r="E5" s="327" t="s">
        <v>120</v>
      </c>
    </row>
    <row r="7" spans="1:15" ht="63.5" customHeight="1" x14ac:dyDescent="0.35">
      <c r="A7" s="453"/>
      <c r="B7" s="454" t="s">
        <v>19</v>
      </c>
      <c r="C7" s="454" t="s">
        <v>23</v>
      </c>
      <c r="D7" s="454" t="s">
        <v>274</v>
      </c>
      <c r="E7" s="455" t="s">
        <v>28</v>
      </c>
      <c r="F7" s="456" t="s">
        <v>15</v>
      </c>
      <c r="G7" s="456" t="s">
        <v>320</v>
      </c>
      <c r="H7" s="456" t="s">
        <v>32</v>
      </c>
      <c r="I7" s="456" t="s">
        <v>253</v>
      </c>
      <c r="J7" s="457" t="s">
        <v>27</v>
      </c>
      <c r="K7" s="458" t="s">
        <v>138</v>
      </c>
      <c r="L7" s="457" t="s">
        <v>254</v>
      </c>
      <c r="M7" s="459" t="s">
        <v>16</v>
      </c>
      <c r="N7" s="459" t="s">
        <v>301</v>
      </c>
      <c r="O7" s="454" t="s">
        <v>278</v>
      </c>
    </row>
    <row r="8" spans="1:15" ht="46" customHeight="1" x14ac:dyDescent="0.3">
      <c r="A8" s="727" t="s">
        <v>59</v>
      </c>
      <c r="B8" s="730">
        <v>12537000</v>
      </c>
      <c r="C8" s="364" t="s">
        <v>24</v>
      </c>
      <c r="D8" s="318">
        <v>45448</v>
      </c>
      <c r="E8" s="328">
        <v>1457352</v>
      </c>
      <c r="F8" s="318">
        <v>45453</v>
      </c>
      <c r="G8" s="318" t="s">
        <v>321</v>
      </c>
      <c r="H8" s="317">
        <v>1457352</v>
      </c>
      <c r="I8" s="317">
        <v>1457352</v>
      </c>
      <c r="J8" s="733" t="s">
        <v>33</v>
      </c>
      <c r="K8" s="317" t="s">
        <v>137</v>
      </c>
      <c r="L8" s="720">
        <f>E8+E9+E11+E14+D19</f>
        <v>15278544</v>
      </c>
      <c r="M8" s="720">
        <f>H8+H9+H10+H11+H12+H13</f>
        <v>13457352</v>
      </c>
      <c r="N8" s="720">
        <v>784806</v>
      </c>
      <c r="O8" s="723">
        <f>L8-M8</f>
        <v>1821192</v>
      </c>
    </row>
    <row r="9" spans="1:15" ht="69.5" customHeight="1" x14ac:dyDescent="0.3">
      <c r="A9" s="728"/>
      <c r="B9" s="731"/>
      <c r="C9" s="743" t="s">
        <v>35</v>
      </c>
      <c r="D9" s="739">
        <v>45478</v>
      </c>
      <c r="E9" s="744">
        <v>4556682</v>
      </c>
      <c r="F9" s="318">
        <v>45491</v>
      </c>
      <c r="G9" s="318" t="s">
        <v>322</v>
      </c>
      <c r="H9" s="317">
        <v>3000000</v>
      </c>
      <c r="I9" s="736">
        <f>SUM(H9:H10)</f>
        <v>4500000</v>
      </c>
      <c r="J9" s="734"/>
      <c r="K9" s="736">
        <f>E9-I9</f>
        <v>56682</v>
      </c>
      <c r="L9" s="721"/>
      <c r="M9" s="721"/>
      <c r="N9" s="721"/>
      <c r="O9" s="724"/>
    </row>
    <row r="10" spans="1:15" ht="63.5" customHeight="1" x14ac:dyDescent="0.3">
      <c r="A10" s="728"/>
      <c r="B10" s="731"/>
      <c r="C10" s="743"/>
      <c r="D10" s="745"/>
      <c r="E10" s="744"/>
      <c r="F10" s="318">
        <v>45504</v>
      </c>
      <c r="G10" s="318" t="s">
        <v>323</v>
      </c>
      <c r="H10" s="320">
        <v>1500000</v>
      </c>
      <c r="I10" s="736"/>
      <c r="J10" s="734"/>
      <c r="K10" s="736"/>
      <c r="L10" s="721"/>
      <c r="M10" s="721"/>
      <c r="N10" s="721"/>
      <c r="O10" s="724"/>
    </row>
    <row r="11" spans="1:15" ht="70" customHeight="1" x14ac:dyDescent="0.3">
      <c r="A11" s="728"/>
      <c r="B11" s="731"/>
      <c r="C11" s="740" t="s">
        <v>36</v>
      </c>
      <c r="D11" s="739">
        <v>45595</v>
      </c>
      <c r="E11" s="738">
        <v>7211088</v>
      </c>
      <c r="F11" s="318">
        <v>45580</v>
      </c>
      <c r="G11" s="318" t="s">
        <v>324</v>
      </c>
      <c r="H11" s="320">
        <v>1000000</v>
      </c>
      <c r="I11" s="737">
        <f>H11+H12+H13</f>
        <v>7500000</v>
      </c>
      <c r="J11" s="734"/>
      <c r="K11" s="737">
        <f>E11-I11</f>
        <v>-288912</v>
      </c>
      <c r="L11" s="721"/>
      <c r="M11" s="721"/>
      <c r="N11" s="721"/>
      <c r="O11" s="724"/>
    </row>
    <row r="12" spans="1:15" ht="60" customHeight="1" x14ac:dyDescent="0.3">
      <c r="A12" s="728"/>
      <c r="B12" s="731"/>
      <c r="C12" s="740"/>
      <c r="D12" s="739"/>
      <c r="E12" s="738"/>
      <c r="F12" s="319">
        <v>45627</v>
      </c>
      <c r="G12" s="318" t="s">
        <v>325</v>
      </c>
      <c r="H12" s="320">
        <v>3500000</v>
      </c>
      <c r="I12" s="737"/>
      <c r="J12" s="734"/>
      <c r="K12" s="737"/>
      <c r="L12" s="721"/>
      <c r="M12" s="721"/>
      <c r="N12" s="721"/>
      <c r="O12" s="724"/>
    </row>
    <row r="13" spans="1:15" ht="64" customHeight="1" x14ac:dyDescent="0.3">
      <c r="A13" s="728"/>
      <c r="B13" s="731"/>
      <c r="C13" s="740"/>
      <c r="D13" s="739"/>
      <c r="E13" s="738"/>
      <c r="F13" s="319">
        <v>45631</v>
      </c>
      <c r="G13" s="318" t="s">
        <v>326</v>
      </c>
      <c r="H13" s="320">
        <v>3000000</v>
      </c>
      <c r="I13" s="737"/>
      <c r="J13" s="734"/>
      <c r="K13" s="737"/>
      <c r="L13" s="721"/>
      <c r="M13" s="721"/>
      <c r="N13" s="721"/>
      <c r="O13" s="724"/>
    </row>
    <row r="14" spans="1:15" ht="70" customHeight="1" x14ac:dyDescent="0.3">
      <c r="A14" s="728"/>
      <c r="B14" s="731"/>
      <c r="C14" s="322" t="s">
        <v>327</v>
      </c>
      <c r="D14" s="323">
        <v>45641</v>
      </c>
      <c r="E14" s="329">
        <v>1686192</v>
      </c>
      <c r="F14" s="320"/>
      <c r="G14" s="320"/>
      <c r="H14" s="320"/>
      <c r="I14" s="320"/>
      <c r="J14" s="734"/>
      <c r="K14" s="320"/>
      <c r="L14" s="721"/>
      <c r="M14" s="721"/>
      <c r="N14" s="721"/>
      <c r="O14" s="724"/>
    </row>
    <row r="15" spans="1:15" ht="63" customHeight="1" x14ac:dyDescent="0.3">
      <c r="A15" s="729"/>
      <c r="B15" s="732"/>
      <c r="C15" s="322" t="s">
        <v>331</v>
      </c>
      <c r="D15" s="324">
        <v>45641</v>
      </c>
      <c r="E15" s="329"/>
      <c r="F15" s="325"/>
      <c r="G15" s="325"/>
      <c r="H15" s="325"/>
      <c r="I15" s="325"/>
      <c r="J15" s="735"/>
      <c r="K15" s="325"/>
      <c r="L15" s="722"/>
      <c r="M15" s="722"/>
      <c r="N15" s="722"/>
      <c r="O15" s="725"/>
    </row>
    <row r="16" spans="1:15" ht="39" customHeight="1" x14ac:dyDescent="0.3"/>
    <row r="17" spans="3:10" ht="23" customHeight="1" x14ac:dyDescent="0.3">
      <c r="C17" s="326" t="s">
        <v>329</v>
      </c>
      <c r="D17" s="326"/>
      <c r="E17" s="330"/>
      <c r="F17" s="326"/>
      <c r="G17" s="326"/>
      <c r="H17" s="326"/>
      <c r="I17" s="326"/>
    </row>
    <row r="18" spans="3:10" x14ac:dyDescent="0.3">
      <c r="D18" s="726"/>
      <c r="E18" s="726"/>
      <c r="F18" s="726"/>
      <c r="G18" s="726"/>
      <c r="H18" s="726"/>
      <c r="I18" s="726"/>
      <c r="J18" s="726"/>
    </row>
    <row r="19" spans="3:10" ht="30.5" customHeight="1" x14ac:dyDescent="0.3">
      <c r="C19" s="316" t="s">
        <v>328</v>
      </c>
      <c r="D19" s="320">
        <v>367230</v>
      </c>
    </row>
    <row r="20" spans="3:10" ht="30.5" customHeight="1" x14ac:dyDescent="0.3">
      <c r="C20" s="316" t="s">
        <v>330</v>
      </c>
      <c r="D20" s="320"/>
    </row>
  </sheetData>
  <mergeCells count="20">
    <mergeCell ref="A1:O2"/>
    <mergeCell ref="C3:O3"/>
    <mergeCell ref="C9:C10"/>
    <mergeCell ref="E9:E10"/>
    <mergeCell ref="D9:D10"/>
    <mergeCell ref="I9:I10"/>
    <mergeCell ref="M8:M15"/>
    <mergeCell ref="O8:O15"/>
    <mergeCell ref="N8:N15"/>
    <mergeCell ref="D18:J18"/>
    <mergeCell ref="A8:A15"/>
    <mergeCell ref="B8:B15"/>
    <mergeCell ref="J8:J15"/>
    <mergeCell ref="L8:L15"/>
    <mergeCell ref="K9:K10"/>
    <mergeCell ref="I11:I13"/>
    <mergeCell ref="E11:E13"/>
    <mergeCell ref="D11:D13"/>
    <mergeCell ref="C11:C13"/>
    <mergeCell ref="K11:K13"/>
  </mergeCells>
  <phoneticPr fontId="15" type="noConversion"/>
  <pageMargins left="0.7" right="0.7" top="0.75" bottom="0.75" header="0.3" footer="0.3"/>
  <pageSetup paperSize="9" scale="52" fitToWidth="0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M7"/>
  <sheetViews>
    <sheetView view="pageBreakPreview" zoomScale="60" zoomScaleNormal="100" workbookViewId="0">
      <selection activeCell="E8" sqref="E8"/>
    </sheetView>
  </sheetViews>
  <sheetFormatPr baseColWidth="10" defaultRowHeight="13" x14ac:dyDescent="0.3"/>
  <cols>
    <col min="2" max="2" width="17.3984375" customWidth="1"/>
    <col min="3" max="3" width="18.69921875" customWidth="1"/>
    <col min="4" max="4" width="13.69921875" customWidth="1"/>
    <col min="5" max="5" width="12.19921875" style="1" customWidth="1"/>
    <col min="6" max="6" width="17.09765625" style="1" customWidth="1"/>
    <col min="7" max="7" width="14.8984375" style="1" customWidth="1"/>
    <col min="8" max="9" width="14.8984375" customWidth="1"/>
    <col min="10" max="10" width="12.59765625" style="1" customWidth="1"/>
    <col min="11" max="11" width="13.19921875" customWidth="1"/>
    <col min="12" max="12" width="16" customWidth="1"/>
    <col min="13" max="13" width="15.8984375" customWidth="1"/>
  </cols>
  <sheetData>
    <row r="1" spans="1:13" x14ac:dyDescent="0.3">
      <c r="B1" s="543"/>
      <c r="C1" s="543"/>
      <c r="D1" s="543"/>
      <c r="E1" s="543"/>
      <c r="F1" s="543"/>
      <c r="G1" s="543"/>
      <c r="H1" s="543"/>
      <c r="I1" s="543"/>
      <c r="J1" s="543"/>
      <c r="K1" s="543"/>
    </row>
    <row r="2" spans="1:13" x14ac:dyDescent="0.3">
      <c r="B2" s="543"/>
      <c r="C2" s="543"/>
      <c r="D2" s="543"/>
      <c r="E2" s="543"/>
      <c r="F2" s="543"/>
      <c r="G2" s="543"/>
      <c r="H2" s="543"/>
      <c r="I2" s="543"/>
      <c r="J2" s="543"/>
      <c r="K2" s="543"/>
    </row>
    <row r="3" spans="1:13" ht="23" customHeight="1" x14ac:dyDescent="0.3">
      <c r="B3" s="3"/>
      <c r="C3" s="544" t="s">
        <v>31</v>
      </c>
      <c r="D3" s="544"/>
      <c r="E3" s="544"/>
      <c r="F3" s="544"/>
      <c r="G3" s="544"/>
      <c r="H3" s="544"/>
      <c r="I3" s="544"/>
      <c r="J3" s="544"/>
      <c r="K3" s="544"/>
    </row>
    <row r="4" spans="1:13" ht="25.5" customHeight="1" x14ac:dyDescent="0.3">
      <c r="B4" s="3"/>
      <c r="C4" s="12" t="s">
        <v>279</v>
      </c>
      <c r="D4" s="12"/>
      <c r="E4" s="22"/>
      <c r="F4" s="21"/>
      <c r="G4" s="21"/>
      <c r="H4" s="4"/>
      <c r="I4" s="4"/>
      <c r="J4" s="21"/>
      <c r="K4" s="4"/>
    </row>
    <row r="6" spans="1:13" ht="70" customHeight="1" x14ac:dyDescent="0.3">
      <c r="A6" s="746" t="s">
        <v>382</v>
      </c>
      <c r="B6" s="13" t="s">
        <v>19</v>
      </c>
      <c r="C6" s="13" t="s">
        <v>383</v>
      </c>
      <c r="D6" s="215" t="s">
        <v>314</v>
      </c>
      <c r="E6" s="13" t="s">
        <v>380</v>
      </c>
      <c r="F6" s="13" t="s">
        <v>381</v>
      </c>
      <c r="G6" s="13" t="s">
        <v>6</v>
      </c>
      <c r="H6" s="13" t="s">
        <v>12</v>
      </c>
      <c r="I6" s="13" t="s">
        <v>318</v>
      </c>
      <c r="J6" s="13" t="s">
        <v>27</v>
      </c>
      <c r="K6" s="13" t="s">
        <v>16</v>
      </c>
      <c r="L6" s="13" t="s">
        <v>378</v>
      </c>
      <c r="M6" s="13" t="s">
        <v>209</v>
      </c>
    </row>
    <row r="7" spans="1:13" ht="95.5" customHeight="1" x14ac:dyDescent="0.3">
      <c r="A7" s="747"/>
      <c r="B7" s="30">
        <v>4720000</v>
      </c>
      <c r="C7" s="91" t="s">
        <v>307</v>
      </c>
      <c r="D7" s="30">
        <v>45651</v>
      </c>
      <c r="E7" s="30">
        <v>715000</v>
      </c>
      <c r="F7" s="30">
        <v>715000</v>
      </c>
      <c r="G7" s="30">
        <v>45446</v>
      </c>
      <c r="H7" s="91" t="s">
        <v>384</v>
      </c>
      <c r="I7" s="30">
        <v>300000</v>
      </c>
      <c r="J7" s="91" t="s">
        <v>169</v>
      </c>
      <c r="K7" s="30">
        <v>300000</v>
      </c>
      <c r="L7" s="30">
        <v>20750</v>
      </c>
      <c r="M7" s="30">
        <f>E7-I7-L7</f>
        <v>394250</v>
      </c>
    </row>
  </sheetData>
  <mergeCells count="3">
    <mergeCell ref="B1:K2"/>
    <mergeCell ref="C3:K3"/>
    <mergeCell ref="A6:A7"/>
  </mergeCells>
  <pageMargins left="0.7" right="0.7" top="0.75" bottom="0.75" header="0.3" footer="0.3"/>
  <pageSetup paperSize="9" scale="72" orientation="landscape" horizontalDpi="300" verticalDpi="300" r:id="rId1"/>
  <colBreaks count="1" manualBreakCount="1">
    <brk id="14" max="21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A1:Q12"/>
  <sheetViews>
    <sheetView view="pageBreakPreview" topLeftCell="A4" zoomScale="60" zoomScaleNormal="100" workbookViewId="0">
      <selection activeCell="E19" sqref="E19:F19"/>
    </sheetView>
  </sheetViews>
  <sheetFormatPr baseColWidth="10" defaultRowHeight="13" x14ac:dyDescent="0.3"/>
  <cols>
    <col min="1" max="1" width="9.19921875" customWidth="1"/>
    <col min="2" max="4" width="14.09765625" customWidth="1"/>
    <col min="5" max="5" width="12.796875" bestFit="1" customWidth="1"/>
    <col min="7" max="7" width="17.8984375" customWidth="1"/>
    <col min="8" max="8" width="12.796875" customWidth="1"/>
    <col min="9" max="9" width="15.59765625" customWidth="1"/>
    <col min="10" max="10" width="14" customWidth="1"/>
    <col min="11" max="11" width="11.19921875" customWidth="1"/>
    <col min="12" max="12" width="12.69921875" customWidth="1"/>
  </cols>
  <sheetData>
    <row r="1" spans="1:17" ht="13" customHeight="1" x14ac:dyDescent="0.3">
      <c r="A1" s="613"/>
      <c r="B1" s="612"/>
      <c r="C1" s="49"/>
      <c r="D1" s="49"/>
      <c r="E1" s="49"/>
      <c r="F1" s="204" t="s">
        <v>17</v>
      </c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</row>
    <row r="2" spans="1:17" ht="13" customHeight="1" x14ac:dyDescent="0.3">
      <c r="A2" s="613"/>
      <c r="B2" s="612"/>
      <c r="C2" s="49"/>
      <c r="D2" s="49"/>
      <c r="E2" s="49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</row>
    <row r="3" spans="1:17" x14ac:dyDescent="0.3">
      <c r="F3" s="590" t="s">
        <v>354</v>
      </c>
      <c r="G3" s="590"/>
      <c r="H3" s="590"/>
      <c r="I3" s="590"/>
      <c r="J3" s="590"/>
      <c r="K3" s="590"/>
      <c r="L3" s="590"/>
      <c r="M3" s="590"/>
      <c r="N3" s="590"/>
      <c r="O3" s="590"/>
      <c r="P3" s="590"/>
      <c r="Q3" s="590"/>
    </row>
    <row r="4" spans="1:17" ht="21.5" customHeight="1" x14ac:dyDescent="0.3">
      <c r="F4" s="590" t="s">
        <v>273</v>
      </c>
      <c r="G4" s="590"/>
      <c r="H4" s="590"/>
      <c r="I4" s="590"/>
      <c r="J4" s="590"/>
      <c r="K4" s="60"/>
      <c r="L4" s="60"/>
      <c r="M4" s="3"/>
      <c r="N4" s="4"/>
      <c r="O4" s="4"/>
      <c r="P4" s="4"/>
      <c r="Q4" s="4"/>
    </row>
    <row r="5" spans="1:17" ht="15.5" customHeight="1" x14ac:dyDescent="0.35">
      <c r="A5" s="748" t="s">
        <v>281</v>
      </c>
      <c r="B5" s="756" t="s">
        <v>4</v>
      </c>
      <c r="C5" s="756"/>
      <c r="D5" s="756"/>
      <c r="E5" s="756"/>
      <c r="F5" s="756"/>
      <c r="G5" s="756"/>
      <c r="H5" s="756"/>
      <c r="I5" s="756"/>
      <c r="J5" s="756"/>
      <c r="K5" s="756"/>
      <c r="L5" s="757"/>
      <c r="M5" s="15"/>
      <c r="N5" s="758" t="s">
        <v>1</v>
      </c>
      <c r="O5" s="758"/>
      <c r="P5" s="758"/>
      <c r="Q5" s="758"/>
    </row>
    <row r="6" spans="1:17" ht="43.5" x14ac:dyDescent="0.35">
      <c r="A6" s="749"/>
      <c r="B6" s="237" t="s">
        <v>19</v>
      </c>
      <c r="C6" s="237" t="s">
        <v>353</v>
      </c>
      <c r="D6" s="237" t="s">
        <v>314</v>
      </c>
      <c r="E6" s="82" t="s">
        <v>180</v>
      </c>
      <c r="F6" s="201" t="s">
        <v>306</v>
      </c>
      <c r="G6" s="375" t="s">
        <v>12</v>
      </c>
      <c r="H6" s="376" t="s">
        <v>356</v>
      </c>
      <c r="I6" s="201" t="s">
        <v>126</v>
      </c>
      <c r="J6" s="202" t="s">
        <v>16</v>
      </c>
      <c r="K6" s="202" t="s">
        <v>299</v>
      </c>
      <c r="L6" s="83" t="s">
        <v>280</v>
      </c>
      <c r="M6" s="8"/>
      <c r="N6" s="8"/>
      <c r="O6" s="8"/>
      <c r="P6" s="8"/>
      <c r="Q6" s="8"/>
    </row>
    <row r="7" spans="1:17" ht="13" customHeight="1" x14ac:dyDescent="0.3">
      <c r="A7" s="749"/>
      <c r="B7" s="659">
        <v>1362400</v>
      </c>
      <c r="C7" s="750" t="s">
        <v>54</v>
      </c>
      <c r="D7" s="753">
        <v>45623</v>
      </c>
      <c r="E7" s="659">
        <v>1289600</v>
      </c>
      <c r="F7" s="657">
        <v>45540</v>
      </c>
      <c r="G7" s="658" t="s">
        <v>13</v>
      </c>
      <c r="H7" s="608">
        <v>200000</v>
      </c>
      <c r="I7" s="665" t="s">
        <v>18</v>
      </c>
      <c r="J7" s="659">
        <f>SUM(H7:H11)</f>
        <v>1225120</v>
      </c>
      <c r="K7" s="659">
        <v>64480</v>
      </c>
      <c r="L7" s="659">
        <f>E7-J7-K7</f>
        <v>0</v>
      </c>
    </row>
    <row r="8" spans="1:17" x14ac:dyDescent="0.3">
      <c r="A8" s="749"/>
      <c r="B8" s="610"/>
      <c r="C8" s="751"/>
      <c r="D8" s="754"/>
      <c r="E8" s="610"/>
      <c r="F8" s="657"/>
      <c r="G8" s="658"/>
      <c r="H8" s="608"/>
      <c r="I8" s="666"/>
      <c r="J8" s="610"/>
      <c r="K8" s="610"/>
      <c r="L8" s="610"/>
    </row>
    <row r="9" spans="1:17" x14ac:dyDescent="0.3">
      <c r="A9" s="749"/>
      <c r="B9" s="610"/>
      <c r="C9" s="751"/>
      <c r="D9" s="754"/>
      <c r="E9" s="610"/>
      <c r="F9" s="657"/>
      <c r="G9" s="658"/>
      <c r="H9" s="608"/>
      <c r="I9" s="666"/>
      <c r="J9" s="610"/>
      <c r="K9" s="610"/>
      <c r="L9" s="610"/>
    </row>
    <row r="10" spans="1:17" ht="28" customHeight="1" x14ac:dyDescent="0.3">
      <c r="A10" s="749"/>
      <c r="B10" s="610"/>
      <c r="C10" s="751"/>
      <c r="D10" s="754"/>
      <c r="E10" s="610"/>
      <c r="F10" s="657"/>
      <c r="G10" s="658"/>
      <c r="H10" s="608"/>
      <c r="I10" s="666"/>
      <c r="J10" s="610"/>
      <c r="K10" s="610"/>
      <c r="L10" s="610"/>
    </row>
    <row r="11" spans="1:17" ht="26" customHeight="1" x14ac:dyDescent="0.3">
      <c r="A11" s="749"/>
      <c r="B11" s="611"/>
      <c r="C11" s="752"/>
      <c r="D11" s="755"/>
      <c r="E11" s="611"/>
      <c r="F11" s="90">
        <v>45636</v>
      </c>
      <c r="G11" s="7" t="s">
        <v>355</v>
      </c>
      <c r="H11" s="23">
        <v>1025120</v>
      </c>
      <c r="I11" s="667"/>
      <c r="J11" s="611"/>
      <c r="K11" s="611"/>
      <c r="L11" s="611"/>
    </row>
    <row r="12" spans="1:17" x14ac:dyDescent="0.3">
      <c r="A12" s="80"/>
      <c r="B12" s="68"/>
      <c r="C12" s="68"/>
      <c r="D12" s="68"/>
      <c r="E12" s="68"/>
      <c r="F12" s="79"/>
      <c r="G12" s="2"/>
      <c r="H12" s="203"/>
      <c r="I12" s="81"/>
      <c r="J12" s="68"/>
      <c r="K12" s="68"/>
      <c r="L12" s="68"/>
    </row>
  </sheetData>
  <mergeCells count="18">
    <mergeCell ref="N5:Q5"/>
    <mergeCell ref="A1:A2"/>
    <mergeCell ref="B1:B2"/>
    <mergeCell ref="F3:Q3"/>
    <mergeCell ref="F4:J4"/>
    <mergeCell ref="J7:J11"/>
    <mergeCell ref="K7:K11"/>
    <mergeCell ref="L7:L11"/>
    <mergeCell ref="A5:A11"/>
    <mergeCell ref="B7:B11"/>
    <mergeCell ref="C7:C11"/>
    <mergeCell ref="D7:D11"/>
    <mergeCell ref="E7:E11"/>
    <mergeCell ref="I7:I11"/>
    <mergeCell ref="B5:L5"/>
    <mergeCell ref="G7:G10"/>
    <mergeCell ref="F7:F10"/>
    <mergeCell ref="H7:H10"/>
  </mergeCells>
  <pageMargins left="0.11805555555555555" right="6.9444444444444441E-3" top="0.75" bottom="0.75" header="0.3" footer="0.3"/>
  <pageSetup paperSize="9" fitToWidth="0" orientation="landscape" horizontalDpi="300" verticalDpi="300" r:id="rId1"/>
  <colBreaks count="2" manualBreakCount="2">
    <brk id="12" max="21" man="1"/>
    <brk id="14" max="21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M14"/>
  <sheetViews>
    <sheetView zoomScale="80" zoomScaleNormal="80" workbookViewId="0">
      <selection activeCell="G7" sqref="G7"/>
    </sheetView>
  </sheetViews>
  <sheetFormatPr baseColWidth="10" defaultRowHeight="13" x14ac:dyDescent="0.3"/>
  <cols>
    <col min="2" max="2" width="15.296875" customWidth="1"/>
    <col min="3" max="3" width="16.3984375" customWidth="1"/>
    <col min="4" max="4" width="13.796875" style="1" customWidth="1"/>
    <col min="5" max="5" width="14.8984375" style="1" customWidth="1"/>
    <col min="6" max="7" width="14.8984375" customWidth="1"/>
    <col min="8" max="8" width="14.69921875" style="1" customWidth="1"/>
    <col min="9" max="9" width="16" customWidth="1"/>
    <col min="10" max="10" width="14" customWidth="1"/>
    <col min="12" max="12" width="14.09765625" customWidth="1"/>
    <col min="13" max="13" width="13.796875" customWidth="1"/>
  </cols>
  <sheetData>
    <row r="1" spans="1:13" x14ac:dyDescent="0.3">
      <c r="A1" s="543" t="s">
        <v>17</v>
      </c>
      <c r="B1" s="543"/>
      <c r="C1" s="543"/>
      <c r="D1" s="543"/>
      <c r="E1" s="543"/>
      <c r="F1" s="543"/>
      <c r="G1" s="543"/>
      <c r="H1" s="543"/>
      <c r="I1" s="543"/>
    </row>
    <row r="2" spans="1:13" x14ac:dyDescent="0.3">
      <c r="A2" s="543"/>
      <c r="B2" s="543"/>
      <c r="C2" s="543"/>
      <c r="D2" s="543"/>
      <c r="E2" s="543"/>
      <c r="F2" s="543"/>
      <c r="G2" s="543"/>
      <c r="H2" s="543"/>
      <c r="I2" s="543"/>
    </row>
    <row r="3" spans="1:13" ht="23" customHeight="1" x14ac:dyDescent="0.3">
      <c r="A3" s="3"/>
      <c r="B3" s="742" t="s">
        <v>343</v>
      </c>
      <c r="C3" s="544"/>
      <c r="D3" s="544"/>
      <c r="E3" s="544"/>
      <c r="F3" s="544"/>
      <c r="G3" s="544"/>
      <c r="H3" s="544"/>
      <c r="I3" s="544"/>
    </row>
    <row r="4" spans="1:13" ht="25.5" customHeight="1" x14ac:dyDescent="0.3">
      <c r="A4" s="3"/>
      <c r="B4" s="309" t="s">
        <v>342</v>
      </c>
      <c r="C4" s="363"/>
      <c r="D4" s="22"/>
      <c r="E4" s="21"/>
      <c r="F4" s="4"/>
      <c r="G4" s="4"/>
      <c r="H4" s="21"/>
      <c r="I4" s="4"/>
    </row>
    <row r="5" spans="1:13" x14ac:dyDescent="0.3">
      <c r="I5" s="2"/>
    </row>
    <row r="6" spans="1:13" ht="29" x14ac:dyDescent="0.3">
      <c r="A6" s="6"/>
      <c r="B6" s="357" t="s">
        <v>156</v>
      </c>
      <c r="C6" s="357" t="s">
        <v>228</v>
      </c>
      <c r="D6" s="357" t="s">
        <v>338</v>
      </c>
      <c r="E6" s="357" t="s">
        <v>229</v>
      </c>
      <c r="F6" s="357" t="s">
        <v>287</v>
      </c>
      <c r="G6" s="357" t="s">
        <v>230</v>
      </c>
      <c r="H6" s="357" t="s">
        <v>155</v>
      </c>
      <c r="I6" s="357" t="s">
        <v>27</v>
      </c>
      <c r="J6" s="357" t="s">
        <v>341</v>
      </c>
      <c r="K6" s="357" t="s">
        <v>142</v>
      </c>
      <c r="L6" s="293" t="s">
        <v>231</v>
      </c>
      <c r="M6" s="293" t="s">
        <v>232</v>
      </c>
    </row>
    <row r="7" spans="1:13" ht="99.5" customHeight="1" x14ac:dyDescent="0.3">
      <c r="A7" s="358" t="s">
        <v>292</v>
      </c>
      <c r="B7" s="9">
        <v>2253285.06</v>
      </c>
      <c r="C7" s="77" t="s">
        <v>66</v>
      </c>
      <c r="D7" s="359">
        <v>45635</v>
      </c>
      <c r="E7" s="30">
        <v>1440980</v>
      </c>
      <c r="F7" s="30">
        <v>1440980</v>
      </c>
      <c r="G7" s="30">
        <v>1440000</v>
      </c>
      <c r="H7" s="257">
        <v>2024</v>
      </c>
      <c r="I7" s="77" t="s">
        <v>169</v>
      </c>
      <c r="J7" s="10">
        <v>45630</v>
      </c>
      <c r="K7" s="77" t="s">
        <v>339</v>
      </c>
      <c r="L7" s="9">
        <v>1440000</v>
      </c>
      <c r="M7" s="258">
        <f>G7-L7</f>
        <v>0</v>
      </c>
    </row>
    <row r="8" spans="1:13" ht="25" customHeight="1" x14ac:dyDescent="0.3">
      <c r="A8" s="360"/>
      <c r="B8" s="3"/>
      <c r="C8" s="259"/>
      <c r="D8" s="361"/>
      <c r="E8" s="68"/>
      <c r="F8" s="68"/>
      <c r="G8" s="68"/>
      <c r="H8" s="68"/>
      <c r="I8" s="259"/>
      <c r="J8" s="362"/>
      <c r="K8" s="3"/>
      <c r="L8" s="3"/>
      <c r="M8" s="3"/>
    </row>
    <row r="10" spans="1:13" x14ac:dyDescent="0.3">
      <c r="B10" s="759" t="s">
        <v>344</v>
      </c>
      <c r="C10" s="760"/>
      <c r="D10" s="760"/>
    </row>
    <row r="11" spans="1:13" x14ac:dyDescent="0.3">
      <c r="B11" s="760"/>
      <c r="C11" s="760"/>
      <c r="D11" s="760"/>
    </row>
    <row r="13" spans="1:13" ht="29" x14ac:dyDescent="0.3">
      <c r="A13" s="6"/>
      <c r="B13" s="357" t="s">
        <v>156</v>
      </c>
      <c r="C13" s="357" t="s">
        <v>228</v>
      </c>
      <c r="D13" s="357" t="s">
        <v>338</v>
      </c>
      <c r="E13" s="357" t="s">
        <v>229</v>
      </c>
      <c r="F13" s="357" t="s">
        <v>287</v>
      </c>
      <c r="G13" s="357" t="s">
        <v>230</v>
      </c>
      <c r="H13" s="357" t="s">
        <v>155</v>
      </c>
      <c r="I13" s="357" t="s">
        <v>27</v>
      </c>
      <c r="J13" s="357" t="s">
        <v>341</v>
      </c>
      <c r="K13" s="293" t="s">
        <v>231</v>
      </c>
      <c r="L13" s="293" t="s">
        <v>232</v>
      </c>
    </row>
    <row r="14" spans="1:13" ht="96.5" customHeight="1" x14ac:dyDescent="0.3">
      <c r="A14" s="358" t="s">
        <v>292</v>
      </c>
      <c r="B14" s="30">
        <v>1161841.8999999999</v>
      </c>
      <c r="C14" s="77"/>
      <c r="D14" s="359"/>
      <c r="E14" s="30"/>
      <c r="F14" s="30"/>
      <c r="G14" s="30">
        <v>400000</v>
      </c>
      <c r="H14" s="257">
        <v>2024</v>
      </c>
      <c r="I14" s="77" t="s">
        <v>169</v>
      </c>
      <c r="J14" s="10">
        <v>45636</v>
      </c>
      <c r="K14" s="9"/>
      <c r="L14" s="9"/>
    </row>
  </sheetData>
  <mergeCells count="3">
    <mergeCell ref="A1:I2"/>
    <mergeCell ref="B3:I3"/>
    <mergeCell ref="B10:D11"/>
  </mergeCells>
  <pageMargins left="0.7" right="0.7" top="0.75" bottom="0.75" header="0.3" footer="0.3"/>
  <pageSetup paperSize="9" scale="79" fitToHeight="0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2:M18"/>
  <sheetViews>
    <sheetView view="pageBreakPreview" topLeftCell="A2" zoomScale="90" zoomScaleNormal="100" zoomScaleSheetLayoutView="90" workbookViewId="0">
      <selection activeCell="K6" sqref="K6:K13"/>
    </sheetView>
  </sheetViews>
  <sheetFormatPr baseColWidth="10" defaultRowHeight="13" x14ac:dyDescent="0.3"/>
  <cols>
    <col min="2" max="4" width="13.19921875" customWidth="1"/>
    <col min="5" max="5" width="20.19921875" customWidth="1"/>
    <col min="6" max="6" width="11.59765625" customWidth="1"/>
    <col min="7" max="7" width="15.296875" customWidth="1"/>
    <col min="8" max="8" width="13.69921875" style="1" customWidth="1"/>
    <col min="9" max="9" width="12" customWidth="1"/>
    <col min="10" max="11" width="15.19921875" customWidth="1"/>
    <col min="12" max="12" width="14.3984375" customWidth="1"/>
  </cols>
  <sheetData>
    <row r="2" spans="1:13" x14ac:dyDescent="0.3">
      <c r="A2" s="3"/>
      <c r="B2" s="3"/>
      <c r="C2" s="3"/>
      <c r="D2" s="3"/>
      <c r="E2" s="3"/>
      <c r="F2" s="544" t="s">
        <v>282</v>
      </c>
      <c r="G2" s="544"/>
      <c r="H2" s="544"/>
      <c r="I2" s="544"/>
      <c r="J2" s="544"/>
      <c r="K2" s="544"/>
      <c r="L2" s="544"/>
      <c r="M2" s="544"/>
    </row>
    <row r="3" spans="1:13" ht="19" customHeight="1" x14ac:dyDescent="0.3">
      <c r="A3" s="3"/>
      <c r="B3" s="761" t="s">
        <v>283</v>
      </c>
      <c r="C3" s="761"/>
      <c r="D3" s="761"/>
      <c r="E3" s="761"/>
      <c r="F3" s="761"/>
      <c r="G3" s="761"/>
      <c r="H3" s="761"/>
      <c r="I3" s="4"/>
      <c r="J3" s="4"/>
      <c r="K3" s="4"/>
      <c r="L3" s="21"/>
      <c r="M3" s="4"/>
    </row>
    <row r="4" spans="1:13" ht="25" customHeight="1" x14ac:dyDescent="0.3">
      <c r="A4" s="6"/>
      <c r="B4" s="6"/>
      <c r="C4" s="762"/>
      <c r="D4" s="763"/>
      <c r="E4" s="763"/>
      <c r="F4" s="763"/>
      <c r="G4" s="763"/>
      <c r="H4" s="763"/>
      <c r="I4" s="763"/>
      <c r="J4" s="763"/>
      <c r="K4" s="763"/>
      <c r="L4" s="763"/>
      <c r="M4" s="763"/>
    </row>
    <row r="5" spans="1:13" ht="36.5" customHeight="1" x14ac:dyDescent="0.35">
      <c r="A5" s="155"/>
      <c r="B5" s="221" t="s">
        <v>19</v>
      </c>
      <c r="C5" s="221" t="s">
        <v>23</v>
      </c>
      <c r="D5" s="221" t="s">
        <v>274</v>
      </c>
      <c r="E5" s="221" t="s">
        <v>295</v>
      </c>
      <c r="F5" s="221" t="s">
        <v>6</v>
      </c>
      <c r="G5" s="221" t="s">
        <v>12</v>
      </c>
      <c r="H5" s="221" t="s">
        <v>313</v>
      </c>
      <c r="I5" s="221" t="s">
        <v>27</v>
      </c>
      <c r="J5" s="221" t="s">
        <v>16</v>
      </c>
      <c r="K5" s="221" t="s">
        <v>301</v>
      </c>
      <c r="L5" s="221" t="s">
        <v>280</v>
      </c>
      <c r="M5" s="8"/>
    </row>
    <row r="6" spans="1:13" ht="25.5" customHeight="1" x14ac:dyDescent="0.3">
      <c r="A6" s="705" t="s">
        <v>294</v>
      </c>
      <c r="B6" s="607">
        <v>3450000</v>
      </c>
      <c r="C6" s="764" t="s">
        <v>24</v>
      </c>
      <c r="D6" s="767">
        <v>45609</v>
      </c>
      <c r="E6" s="766">
        <v>1199148</v>
      </c>
      <c r="F6" s="90">
        <v>45568</v>
      </c>
      <c r="G6" s="7" t="s">
        <v>13</v>
      </c>
      <c r="H6" s="23">
        <v>100000</v>
      </c>
      <c r="I6" s="765" t="s">
        <v>18</v>
      </c>
      <c r="J6" s="608">
        <f>SUM(H6:H13)</f>
        <v>1199148</v>
      </c>
      <c r="K6" s="659"/>
      <c r="L6" s="608">
        <f>E6-J6</f>
        <v>0</v>
      </c>
    </row>
    <row r="7" spans="1:13" ht="17" customHeight="1" x14ac:dyDescent="0.3">
      <c r="A7" s="705"/>
      <c r="B7" s="607"/>
      <c r="C7" s="764"/>
      <c r="D7" s="767"/>
      <c r="E7" s="766"/>
      <c r="F7" s="61">
        <v>45576</v>
      </c>
      <c r="G7" s="7" t="s">
        <v>14</v>
      </c>
      <c r="H7" s="23">
        <v>100000</v>
      </c>
      <c r="I7" s="765"/>
      <c r="J7" s="608"/>
      <c r="K7" s="610"/>
      <c r="L7" s="608"/>
    </row>
    <row r="8" spans="1:13" ht="18" customHeight="1" x14ac:dyDescent="0.3">
      <c r="A8" s="705"/>
      <c r="B8" s="607"/>
      <c r="C8" s="764"/>
      <c r="D8" s="767"/>
      <c r="E8" s="766"/>
      <c r="F8" s="37">
        <v>45582</v>
      </c>
      <c r="G8" s="7" t="s">
        <v>68</v>
      </c>
      <c r="H8" s="205">
        <v>200000</v>
      </c>
      <c r="I8" s="765"/>
      <c r="J8" s="608"/>
      <c r="K8" s="610"/>
      <c r="L8" s="608"/>
    </row>
    <row r="9" spans="1:13" ht="16.5" customHeight="1" x14ac:dyDescent="0.3">
      <c r="A9" s="705"/>
      <c r="B9" s="607"/>
      <c r="C9" s="764"/>
      <c r="D9" s="767"/>
      <c r="E9" s="766"/>
      <c r="F9" s="37">
        <v>45602</v>
      </c>
      <c r="G9" s="7" t="s">
        <v>69</v>
      </c>
      <c r="H9" s="29">
        <v>100000</v>
      </c>
      <c r="I9" s="765"/>
      <c r="J9" s="608"/>
      <c r="K9" s="610"/>
      <c r="L9" s="608"/>
    </row>
    <row r="10" spans="1:13" ht="19" customHeight="1" x14ac:dyDescent="0.3">
      <c r="A10" s="705"/>
      <c r="B10" s="607"/>
      <c r="C10" s="764"/>
      <c r="D10" s="767"/>
      <c r="E10" s="766"/>
      <c r="F10" s="37">
        <v>45596</v>
      </c>
      <c r="G10" s="7" t="s">
        <v>70</v>
      </c>
      <c r="H10" s="29">
        <v>140000</v>
      </c>
      <c r="I10" s="765"/>
      <c r="J10" s="608"/>
      <c r="K10" s="610"/>
      <c r="L10" s="608"/>
    </row>
    <row r="11" spans="1:13" ht="19" customHeight="1" x14ac:dyDescent="0.3">
      <c r="A11" s="705"/>
      <c r="B11" s="607"/>
      <c r="C11" s="764"/>
      <c r="D11" s="767"/>
      <c r="E11" s="766"/>
      <c r="F11" s="37">
        <v>45606</v>
      </c>
      <c r="G11" s="7" t="s">
        <v>139</v>
      </c>
      <c r="H11" s="29">
        <v>100000</v>
      </c>
      <c r="I11" s="765"/>
      <c r="J11" s="608"/>
      <c r="K11" s="610"/>
      <c r="L11" s="608"/>
    </row>
    <row r="12" spans="1:13" ht="25" customHeight="1" x14ac:dyDescent="0.3">
      <c r="A12" s="705"/>
      <c r="B12" s="607"/>
      <c r="C12" s="764"/>
      <c r="D12" s="767"/>
      <c r="E12" s="766"/>
      <c r="F12" s="90">
        <v>45617</v>
      </c>
      <c r="G12" s="7" t="s">
        <v>159</v>
      </c>
      <c r="H12" s="29">
        <v>200000</v>
      </c>
      <c r="I12" s="765"/>
      <c r="J12" s="608"/>
      <c r="K12" s="610"/>
      <c r="L12" s="608"/>
    </row>
    <row r="13" spans="1:13" ht="24" customHeight="1" x14ac:dyDescent="0.3">
      <c r="A13" s="705"/>
      <c r="B13" s="607"/>
      <c r="C13" s="764"/>
      <c r="D13" s="767"/>
      <c r="E13" s="766"/>
      <c r="F13" s="90">
        <v>45623</v>
      </c>
      <c r="G13" s="7" t="s">
        <v>168</v>
      </c>
      <c r="H13" s="29">
        <v>259148</v>
      </c>
      <c r="I13" s="765"/>
      <c r="J13" s="608"/>
      <c r="K13" s="611"/>
      <c r="L13" s="608"/>
    </row>
    <row r="18" spans="6:6" x14ac:dyDescent="0.3">
      <c r="F18" s="2"/>
    </row>
  </sheetData>
  <mergeCells count="12">
    <mergeCell ref="A6:A13"/>
    <mergeCell ref="I6:I13"/>
    <mergeCell ref="J6:J13"/>
    <mergeCell ref="E6:E13"/>
    <mergeCell ref="D6:D13"/>
    <mergeCell ref="F2:M2"/>
    <mergeCell ref="B3:H3"/>
    <mergeCell ref="C4:M4"/>
    <mergeCell ref="C6:C13"/>
    <mergeCell ref="B6:B13"/>
    <mergeCell ref="L6:L13"/>
    <mergeCell ref="K6:K13"/>
  </mergeCells>
  <pageMargins left="0.7" right="0.7" top="0.75" bottom="0.75" header="0.3" footer="0.3"/>
  <pageSetup paperSize="9" scale="87" orientation="landscape" horizontalDpi="300" verticalDpi="300" r:id="rId1"/>
  <colBreaks count="1" manualBreakCount="1">
    <brk id="12" max="18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  <pageSetUpPr fitToPage="1"/>
  </sheetPr>
  <dimension ref="A1:M17"/>
  <sheetViews>
    <sheetView view="pageBreakPreview" zoomScale="82" zoomScaleNormal="100" workbookViewId="0">
      <selection activeCell="L8" sqref="L8:L10"/>
    </sheetView>
  </sheetViews>
  <sheetFormatPr baseColWidth="10" defaultRowHeight="13" x14ac:dyDescent="0.3"/>
  <cols>
    <col min="1" max="1" width="8.5" customWidth="1"/>
    <col min="2" max="4" width="13.09765625" customWidth="1"/>
    <col min="5" max="5" width="14.296875" customWidth="1"/>
    <col min="6" max="7" width="14" customWidth="1"/>
    <col min="8" max="8" width="14.19921875" customWidth="1"/>
    <col min="9" max="9" width="11.59765625" customWidth="1"/>
    <col min="10" max="10" width="13.796875" style="1" customWidth="1"/>
    <col min="11" max="11" width="14.09765625" style="1" customWidth="1"/>
    <col min="12" max="12" width="13.296875" customWidth="1"/>
  </cols>
  <sheetData>
    <row r="1" spans="1:13" x14ac:dyDescent="0.3">
      <c r="A1" s="543" t="s">
        <v>17</v>
      </c>
      <c r="B1" s="543"/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88"/>
    </row>
    <row r="2" spans="1:13" x14ac:dyDescent="0.3">
      <c r="A2" s="543"/>
      <c r="B2" s="543"/>
      <c r="C2" s="543"/>
      <c r="D2" s="543"/>
      <c r="E2" s="543"/>
      <c r="F2" s="543"/>
      <c r="G2" s="543"/>
      <c r="H2" s="543"/>
      <c r="I2" s="543"/>
      <c r="J2" s="543"/>
      <c r="K2" s="543"/>
      <c r="L2" s="543"/>
    </row>
    <row r="3" spans="1:13" x14ac:dyDescent="0.3">
      <c r="A3" s="3"/>
      <c r="B3" s="3"/>
      <c r="C3" s="3"/>
      <c r="D3" s="3"/>
      <c r="E3" s="544"/>
      <c r="F3" s="544"/>
      <c r="G3" s="544"/>
      <c r="H3" s="544"/>
      <c r="I3" s="544"/>
      <c r="J3" s="544"/>
      <c r="K3" s="544"/>
      <c r="L3" s="544"/>
    </row>
    <row r="4" spans="1:13" x14ac:dyDescent="0.3">
      <c r="A4" s="3"/>
      <c r="B4" s="3"/>
      <c r="C4" s="3"/>
      <c r="D4" s="3"/>
      <c r="E4" s="12" t="s">
        <v>176</v>
      </c>
      <c r="F4" s="191"/>
      <c r="G4" s="191"/>
      <c r="H4" s="21"/>
      <c r="I4" s="21"/>
      <c r="J4" s="21"/>
      <c r="K4" s="21"/>
      <c r="L4" s="4"/>
    </row>
    <row r="5" spans="1:13" x14ac:dyDescent="0.3">
      <c r="H5" s="1"/>
      <c r="I5" s="1"/>
    </row>
    <row r="6" spans="1:13" ht="13.5" thickBot="1" x14ac:dyDescent="0.35">
      <c r="H6" s="1"/>
      <c r="I6" s="1"/>
    </row>
    <row r="7" spans="1:13" ht="39" x14ac:dyDescent="0.3">
      <c r="A7" s="6"/>
      <c r="B7" s="221" t="s">
        <v>43</v>
      </c>
      <c r="C7" s="221" t="s">
        <v>23</v>
      </c>
      <c r="D7" s="221" t="s">
        <v>314</v>
      </c>
      <c r="E7" s="221" t="s">
        <v>28</v>
      </c>
      <c r="F7" s="221" t="s">
        <v>15</v>
      </c>
      <c r="G7" s="285" t="s">
        <v>0</v>
      </c>
      <c r="H7" s="292" t="s">
        <v>318</v>
      </c>
      <c r="I7" s="286" t="s">
        <v>319</v>
      </c>
      <c r="J7" s="287" t="s">
        <v>16</v>
      </c>
      <c r="K7" s="287" t="s">
        <v>301</v>
      </c>
      <c r="L7" s="221" t="s">
        <v>41</v>
      </c>
    </row>
    <row r="8" spans="1:13" ht="72.650000000000006" customHeight="1" x14ac:dyDescent="0.3">
      <c r="A8" s="771" t="s">
        <v>392</v>
      </c>
      <c r="B8" s="471">
        <v>1800000</v>
      </c>
      <c r="C8" s="658" t="s">
        <v>66</v>
      </c>
      <c r="D8" s="774">
        <v>45664</v>
      </c>
      <c r="E8" s="471">
        <v>1350000</v>
      </c>
      <c r="F8" s="290">
        <v>45503</v>
      </c>
      <c r="G8" s="291" t="s">
        <v>315</v>
      </c>
      <c r="H8" s="31">
        <v>400000</v>
      </c>
      <c r="I8" s="471" t="s">
        <v>157</v>
      </c>
      <c r="J8" s="483">
        <f>H8+H9+H10</f>
        <v>1100000</v>
      </c>
      <c r="K8" s="483">
        <v>67500</v>
      </c>
      <c r="L8" s="768">
        <f>E8-J8-K8</f>
        <v>182500</v>
      </c>
    </row>
    <row r="9" spans="1:13" ht="55" customHeight="1" x14ac:dyDescent="0.3">
      <c r="A9" s="772"/>
      <c r="B9" s="471"/>
      <c r="C9" s="480"/>
      <c r="D9" s="471"/>
      <c r="E9" s="471"/>
      <c r="F9" s="78">
        <v>45558</v>
      </c>
      <c r="G9" s="291" t="s">
        <v>316</v>
      </c>
      <c r="H9" s="288">
        <v>300000</v>
      </c>
      <c r="I9" s="471"/>
      <c r="J9" s="484"/>
      <c r="K9" s="484"/>
      <c r="L9" s="769"/>
    </row>
    <row r="10" spans="1:13" ht="29" customHeight="1" x14ac:dyDescent="0.3">
      <c r="A10" s="773"/>
      <c r="B10" s="471"/>
      <c r="C10" s="480"/>
      <c r="D10" s="471"/>
      <c r="E10" s="471"/>
      <c r="F10" s="78">
        <v>45626</v>
      </c>
      <c r="G10" s="291" t="s">
        <v>317</v>
      </c>
      <c r="H10" s="289">
        <v>400000</v>
      </c>
      <c r="I10" s="471"/>
      <c r="J10" s="485"/>
      <c r="K10" s="485"/>
      <c r="L10" s="770"/>
    </row>
    <row r="11" spans="1:13" x14ac:dyDescent="0.3">
      <c r="H11" s="1"/>
      <c r="I11" s="1"/>
    </row>
    <row r="12" spans="1:13" x14ac:dyDescent="0.3">
      <c r="H12" s="1"/>
      <c r="I12" s="1"/>
      <c r="J12" s="36" t="s">
        <v>1</v>
      </c>
      <c r="K12" s="36"/>
    </row>
    <row r="13" spans="1:13" x14ac:dyDescent="0.3">
      <c r="E13" s="2" t="s">
        <v>1</v>
      </c>
      <c r="F13" s="2"/>
      <c r="G13" s="2"/>
      <c r="H13" s="1"/>
      <c r="I13" s="1"/>
    </row>
    <row r="14" spans="1:13" x14ac:dyDescent="0.3">
      <c r="E14" s="88" t="s">
        <v>164</v>
      </c>
      <c r="F14" s="88"/>
      <c r="G14" s="88"/>
    </row>
    <row r="16" spans="1:13" x14ac:dyDescent="0.3">
      <c r="I16" s="88"/>
    </row>
    <row r="17" spans="8:8" x14ac:dyDescent="0.3">
      <c r="H17" s="88"/>
    </row>
  </sheetData>
  <mergeCells count="11">
    <mergeCell ref="L8:L10"/>
    <mergeCell ref="K8:K10"/>
    <mergeCell ref="A1:L2"/>
    <mergeCell ref="E3:L3"/>
    <mergeCell ref="A8:A10"/>
    <mergeCell ref="B8:B10"/>
    <mergeCell ref="E8:E10"/>
    <mergeCell ref="D8:D10"/>
    <mergeCell ref="I8:I10"/>
    <mergeCell ref="C8:C10"/>
    <mergeCell ref="J8:J10"/>
  </mergeCells>
  <phoneticPr fontId="15" type="noConversion"/>
  <pageMargins left="0.25" right="0.25" top="0.75" bottom="0.75" header="0.3" footer="0.3"/>
  <pageSetup paperSize="9" fitToWidth="0" orientation="landscape" horizontalDpi="300" verticalDpi="300" r:id="rId1"/>
  <colBreaks count="1" manualBreakCount="1">
    <brk id="12" max="24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00"/>
  </sheetPr>
  <dimension ref="A4:K20"/>
  <sheetViews>
    <sheetView workbookViewId="0">
      <selection sqref="A1:XFD1048576"/>
    </sheetView>
  </sheetViews>
  <sheetFormatPr baseColWidth="10" defaultRowHeight="13" x14ac:dyDescent="0.3"/>
  <cols>
    <col min="2" max="2" width="13.19921875" customWidth="1"/>
    <col min="3" max="3" width="11.59765625" customWidth="1"/>
    <col min="4" max="4" width="15.296875" customWidth="1"/>
    <col min="5" max="5" width="13.69921875" style="1" customWidth="1"/>
    <col min="6" max="6" width="12" customWidth="1"/>
    <col min="7" max="7" width="15.19921875" customWidth="1"/>
    <col min="8" max="8" width="13.296875" customWidth="1"/>
    <col min="10" max="10" width="14.3984375" customWidth="1"/>
  </cols>
  <sheetData>
    <row r="4" spans="1:11" x14ac:dyDescent="0.3">
      <c r="A4" s="3"/>
      <c r="B4" s="3"/>
      <c r="C4" s="544" t="s">
        <v>127</v>
      </c>
      <c r="D4" s="544"/>
      <c r="E4" s="544"/>
      <c r="F4" s="544"/>
      <c r="G4" s="544"/>
      <c r="H4" s="544"/>
      <c r="I4" s="544"/>
      <c r="J4" s="544"/>
      <c r="K4" s="544"/>
    </row>
    <row r="5" spans="1:11" x14ac:dyDescent="0.3">
      <c r="A5" s="3"/>
      <c r="B5" s="3"/>
      <c r="C5" s="11" t="s">
        <v>284</v>
      </c>
      <c r="D5" s="12"/>
      <c r="E5" s="22"/>
      <c r="F5" s="4"/>
      <c r="G5" s="4"/>
      <c r="H5" s="4"/>
      <c r="I5" s="4"/>
      <c r="J5" s="21"/>
      <c r="K5" s="4"/>
    </row>
    <row r="6" spans="1:11" ht="15.5" x14ac:dyDescent="0.35">
      <c r="A6" s="6"/>
      <c r="B6" s="6"/>
      <c r="C6" s="778" t="s">
        <v>4</v>
      </c>
      <c r="D6" s="779"/>
      <c r="E6" s="779"/>
      <c r="F6" s="779"/>
      <c r="G6" s="779"/>
      <c r="H6" s="780"/>
      <c r="I6" s="780"/>
      <c r="J6" s="780"/>
      <c r="K6" s="781"/>
    </row>
    <row r="7" spans="1:11" ht="36.5" customHeight="1" x14ac:dyDescent="0.35">
      <c r="A7" s="6"/>
      <c r="B7" s="13" t="s">
        <v>19</v>
      </c>
      <c r="C7" s="62" t="s">
        <v>6</v>
      </c>
      <c r="D7" s="144" t="s">
        <v>12</v>
      </c>
      <c r="E7" s="145"/>
      <c r="F7" s="146" t="s">
        <v>27</v>
      </c>
      <c r="G7" s="63" t="s">
        <v>16</v>
      </c>
      <c r="H7" s="147" t="s">
        <v>23</v>
      </c>
      <c r="I7" s="146" t="s">
        <v>26</v>
      </c>
      <c r="J7" s="148" t="s">
        <v>20</v>
      </c>
      <c r="K7" s="8"/>
    </row>
    <row r="8" spans="1:11" ht="25.5" customHeight="1" x14ac:dyDescent="0.3">
      <c r="A8" s="705"/>
      <c r="B8" s="608"/>
      <c r="C8" s="90">
        <v>45465</v>
      </c>
      <c r="D8" s="7" t="s">
        <v>13</v>
      </c>
      <c r="E8" s="23">
        <v>60000</v>
      </c>
      <c r="F8" s="765" t="s">
        <v>18</v>
      </c>
      <c r="G8" s="608">
        <f>E8+E9+E10+E11+E12+E13</f>
        <v>965000</v>
      </c>
      <c r="H8" s="775"/>
      <c r="I8" s="775"/>
      <c r="J8" s="659"/>
    </row>
    <row r="9" spans="1:11" ht="23" customHeight="1" x14ac:dyDescent="0.3">
      <c r="A9" s="705"/>
      <c r="B9" s="608"/>
      <c r="C9" s="61">
        <v>45475</v>
      </c>
      <c r="D9" s="7" t="s">
        <v>14</v>
      </c>
      <c r="E9" s="23">
        <v>300000</v>
      </c>
      <c r="F9" s="765"/>
      <c r="G9" s="608"/>
      <c r="H9" s="776"/>
      <c r="I9" s="776"/>
      <c r="J9" s="610"/>
    </row>
    <row r="10" spans="1:11" ht="45.5" customHeight="1" x14ac:dyDescent="0.3">
      <c r="A10" s="705"/>
      <c r="B10" s="608"/>
      <c r="C10" s="37">
        <v>45483</v>
      </c>
      <c r="D10" s="7" t="s">
        <v>68</v>
      </c>
      <c r="E10" s="205">
        <v>200000</v>
      </c>
      <c r="F10" s="765"/>
      <c r="G10" s="608"/>
      <c r="H10" s="776"/>
      <c r="I10" s="776"/>
      <c r="J10" s="610"/>
    </row>
    <row r="11" spans="1:11" ht="33.65" customHeight="1" x14ac:dyDescent="0.3">
      <c r="A11" s="705"/>
      <c r="B11" s="608"/>
      <c r="C11" s="37">
        <v>45484</v>
      </c>
      <c r="D11" s="7" t="s">
        <v>69</v>
      </c>
      <c r="E11" s="29">
        <v>300000</v>
      </c>
      <c r="F11" s="765"/>
      <c r="G11" s="608"/>
      <c r="H11" s="776"/>
      <c r="I11" s="776"/>
      <c r="J11" s="610"/>
    </row>
    <row r="12" spans="1:11" ht="19" customHeight="1" x14ac:dyDescent="0.3">
      <c r="A12" s="705"/>
      <c r="B12" s="608"/>
      <c r="C12" s="37">
        <v>45554</v>
      </c>
      <c r="D12" s="7" t="s">
        <v>70</v>
      </c>
      <c r="E12" s="29">
        <v>35000</v>
      </c>
      <c r="F12" s="765"/>
      <c r="G12" s="608"/>
      <c r="H12" s="776"/>
      <c r="I12" s="776"/>
      <c r="J12" s="610"/>
    </row>
    <row r="13" spans="1:11" ht="27.5" customHeight="1" x14ac:dyDescent="0.3">
      <c r="A13" s="705"/>
      <c r="B13" s="608"/>
      <c r="C13" s="37">
        <v>45565</v>
      </c>
      <c r="D13" s="7" t="s">
        <v>139</v>
      </c>
      <c r="E13" s="29">
        <v>70000</v>
      </c>
      <c r="F13" s="765"/>
      <c r="G13" s="608"/>
      <c r="H13" s="777"/>
      <c r="I13" s="777"/>
      <c r="J13" s="611"/>
    </row>
    <row r="20" spans="3:3" x14ac:dyDescent="0.3">
      <c r="C20" s="2" t="s">
        <v>132</v>
      </c>
    </row>
  </sheetData>
  <mergeCells count="9">
    <mergeCell ref="B8:B13"/>
    <mergeCell ref="A8:A13"/>
    <mergeCell ref="I8:I13"/>
    <mergeCell ref="J8:J13"/>
    <mergeCell ref="C4:K4"/>
    <mergeCell ref="C6:K6"/>
    <mergeCell ref="G8:G13"/>
    <mergeCell ref="F8:F13"/>
    <mergeCell ref="H8:H13"/>
  </mergeCells>
  <phoneticPr fontId="15" type="noConversion"/>
  <pageMargins left="0.7" right="0.7" top="0.75" bottom="0.75" header="0.3" footer="0.3"/>
  <pageSetup paperSize="9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4:N18"/>
  <sheetViews>
    <sheetView view="pageBreakPreview" topLeftCell="A4" zoomScale="60" zoomScaleNormal="100" workbookViewId="0">
      <selection activeCell="B7" sqref="B7:M7"/>
    </sheetView>
  </sheetViews>
  <sheetFormatPr baseColWidth="10" defaultRowHeight="13" x14ac:dyDescent="0.3"/>
  <cols>
    <col min="2" max="5" width="13.19921875" customWidth="1"/>
    <col min="6" max="6" width="13.8984375" customWidth="1"/>
    <col min="7" max="7" width="15.296875" customWidth="1"/>
    <col min="8" max="8" width="13.69921875" style="1" customWidth="1"/>
    <col min="9" max="9" width="14.5" customWidth="1"/>
    <col min="10" max="10" width="15.19921875" customWidth="1"/>
    <col min="11" max="11" width="13.296875" customWidth="1"/>
    <col min="13" max="13" width="14.3984375" customWidth="1"/>
  </cols>
  <sheetData>
    <row r="4" spans="1:14" x14ac:dyDescent="0.3">
      <c r="A4" s="3"/>
      <c r="B4" s="3"/>
      <c r="C4" s="3"/>
      <c r="D4" s="3"/>
      <c r="E4" s="3"/>
      <c r="F4" s="544" t="s">
        <v>365</v>
      </c>
      <c r="G4" s="544"/>
      <c r="H4" s="544"/>
      <c r="I4" s="544"/>
      <c r="J4" s="544"/>
      <c r="K4" s="544"/>
      <c r="L4" s="544"/>
      <c r="M4" s="544"/>
      <c r="N4" s="544"/>
    </row>
    <row r="5" spans="1:14" x14ac:dyDescent="0.3">
      <c r="A5" s="3"/>
      <c r="B5" s="3"/>
      <c r="C5" s="3"/>
      <c r="D5" s="3"/>
      <c r="E5" s="3"/>
      <c r="F5" s="239" t="s">
        <v>285</v>
      </c>
      <c r="G5" s="191"/>
      <c r="H5" s="22"/>
      <c r="I5" s="4"/>
      <c r="J5" s="4"/>
      <c r="K5" s="4"/>
      <c r="L5" s="4"/>
      <c r="M5" s="21"/>
      <c r="N5" s="4"/>
    </row>
    <row r="6" spans="1:14" ht="15.5" x14ac:dyDescent="0.35">
      <c r="F6" s="591"/>
      <c r="G6" s="591"/>
      <c r="H6" s="591"/>
      <c r="I6" s="591"/>
      <c r="J6" s="591"/>
      <c r="K6" s="591"/>
      <c r="L6" s="591"/>
      <c r="M6" s="591"/>
      <c r="N6" s="591"/>
    </row>
    <row r="7" spans="1:14" ht="55.5" customHeight="1" x14ac:dyDescent="0.35">
      <c r="A7" s="783" t="s">
        <v>379</v>
      </c>
      <c r="B7" s="13" t="s">
        <v>19</v>
      </c>
      <c r="C7" s="13" t="s">
        <v>23</v>
      </c>
      <c r="D7" s="13" t="s">
        <v>380</v>
      </c>
      <c r="E7" s="13" t="s">
        <v>338</v>
      </c>
      <c r="F7" s="13" t="s">
        <v>381</v>
      </c>
      <c r="G7" s="13" t="s">
        <v>6</v>
      </c>
      <c r="H7" s="13" t="s">
        <v>12</v>
      </c>
      <c r="I7" s="13" t="s">
        <v>318</v>
      </c>
      <c r="J7" s="13" t="s">
        <v>27</v>
      </c>
      <c r="K7" s="13" t="s">
        <v>16</v>
      </c>
      <c r="L7" s="13" t="s">
        <v>378</v>
      </c>
      <c r="M7" s="13" t="s">
        <v>209</v>
      </c>
      <c r="N7" s="8"/>
    </row>
    <row r="8" spans="1:14" ht="39.5" customHeight="1" x14ac:dyDescent="0.3">
      <c r="A8" s="783"/>
      <c r="B8" s="608">
        <v>3240000</v>
      </c>
      <c r="C8" s="766" t="s">
        <v>307</v>
      </c>
      <c r="D8" s="608">
        <v>756000</v>
      </c>
      <c r="E8" s="657">
        <v>45638</v>
      </c>
      <c r="F8" s="608">
        <f>D8+D12</f>
        <v>1806000</v>
      </c>
      <c r="G8" s="90">
        <v>45546</v>
      </c>
      <c r="H8" s="7" t="s">
        <v>13</v>
      </c>
      <c r="I8" s="23">
        <v>150000</v>
      </c>
      <c r="J8" s="765" t="s">
        <v>18</v>
      </c>
      <c r="K8" s="608">
        <f>I8+I9+I10+I11+I12+I13+I14+I15</f>
        <v>3956000</v>
      </c>
      <c r="L8" s="782">
        <v>774000</v>
      </c>
      <c r="M8" s="606">
        <f>F8-K8</f>
        <v>-2150000</v>
      </c>
    </row>
    <row r="9" spans="1:14" ht="34.5" customHeight="1" x14ac:dyDescent="0.3">
      <c r="A9" s="783"/>
      <c r="B9" s="608"/>
      <c r="C9" s="766"/>
      <c r="D9" s="608"/>
      <c r="E9" s="480"/>
      <c r="F9" s="608"/>
      <c r="G9" s="61">
        <v>45554</v>
      </c>
      <c r="H9" s="7" t="s">
        <v>14</v>
      </c>
      <c r="I9" s="23">
        <v>200000</v>
      </c>
      <c r="J9" s="765"/>
      <c r="K9" s="608"/>
      <c r="L9" s="782"/>
      <c r="M9" s="606"/>
    </row>
    <row r="10" spans="1:14" ht="29" customHeight="1" x14ac:dyDescent="0.3">
      <c r="A10" s="783"/>
      <c r="B10" s="608"/>
      <c r="C10" s="766"/>
      <c r="D10" s="608"/>
      <c r="E10" s="480"/>
      <c r="F10" s="608"/>
      <c r="G10" s="37">
        <v>45558</v>
      </c>
      <c r="H10" s="7" t="s">
        <v>68</v>
      </c>
      <c r="I10" s="205">
        <v>1000000</v>
      </c>
      <c r="J10" s="765"/>
      <c r="K10" s="608"/>
      <c r="L10" s="782"/>
      <c r="M10" s="606"/>
    </row>
    <row r="11" spans="1:14" ht="41" customHeight="1" x14ac:dyDescent="0.3">
      <c r="A11" s="783"/>
      <c r="B11" s="608"/>
      <c r="C11" s="766"/>
      <c r="D11" s="608"/>
      <c r="E11" s="480"/>
      <c r="F11" s="608"/>
      <c r="G11" s="37">
        <v>45568</v>
      </c>
      <c r="H11" s="7" t="s">
        <v>69</v>
      </c>
      <c r="I11" s="29">
        <v>400000</v>
      </c>
      <c r="J11" s="765"/>
      <c r="K11" s="608"/>
      <c r="L11" s="782"/>
      <c r="M11" s="606"/>
    </row>
    <row r="12" spans="1:14" ht="46.5" customHeight="1" x14ac:dyDescent="0.3">
      <c r="A12" s="783"/>
      <c r="B12" s="608"/>
      <c r="C12" s="766" t="s">
        <v>67</v>
      </c>
      <c r="D12" s="608">
        <v>1050000</v>
      </c>
      <c r="E12" s="657">
        <v>45638</v>
      </c>
      <c r="F12" s="608"/>
      <c r="G12" s="37">
        <v>45573</v>
      </c>
      <c r="H12" s="7" t="s">
        <v>70</v>
      </c>
      <c r="I12" s="29">
        <v>400000</v>
      </c>
      <c r="J12" s="765"/>
      <c r="K12" s="608"/>
      <c r="L12" s="782"/>
      <c r="M12" s="606"/>
    </row>
    <row r="13" spans="1:14" ht="38" customHeight="1" x14ac:dyDescent="0.3">
      <c r="A13" s="783"/>
      <c r="B13" s="608"/>
      <c r="C13" s="766"/>
      <c r="D13" s="608"/>
      <c r="E13" s="480"/>
      <c r="F13" s="608"/>
      <c r="G13" s="90">
        <v>45638</v>
      </c>
      <c r="H13" s="7" t="s">
        <v>139</v>
      </c>
      <c r="I13" s="29">
        <v>500000</v>
      </c>
      <c r="J13" s="765"/>
      <c r="K13" s="608"/>
      <c r="L13" s="782"/>
      <c r="M13" s="606"/>
    </row>
    <row r="14" spans="1:14" ht="41.5" customHeight="1" x14ac:dyDescent="0.3">
      <c r="A14" s="783"/>
      <c r="B14" s="608"/>
      <c r="C14" s="766"/>
      <c r="D14" s="608"/>
      <c r="E14" s="480"/>
      <c r="F14" s="608"/>
      <c r="G14" s="90">
        <v>45641</v>
      </c>
      <c r="H14" s="7" t="s">
        <v>159</v>
      </c>
      <c r="I14" s="29">
        <v>756000</v>
      </c>
      <c r="J14" s="765"/>
      <c r="K14" s="608"/>
      <c r="L14" s="782"/>
      <c r="M14" s="606"/>
    </row>
    <row r="15" spans="1:14" ht="44.5" customHeight="1" x14ac:dyDescent="0.3">
      <c r="A15" s="616"/>
      <c r="B15" s="608"/>
      <c r="C15" s="766"/>
      <c r="D15" s="608"/>
      <c r="E15" s="480"/>
      <c r="F15" s="608"/>
      <c r="G15" s="90">
        <v>45664</v>
      </c>
      <c r="H15" s="7" t="s">
        <v>168</v>
      </c>
      <c r="I15" s="29">
        <v>550000</v>
      </c>
      <c r="J15" s="765"/>
      <c r="K15" s="608"/>
      <c r="L15" s="782"/>
      <c r="M15" s="606"/>
    </row>
    <row r="17" spans="3:13" x14ac:dyDescent="0.3">
      <c r="C17" s="449"/>
      <c r="D17" s="449"/>
      <c r="E17" s="449"/>
      <c r="F17" s="449"/>
      <c r="G17" s="449"/>
      <c r="H17" s="450"/>
      <c r="I17" s="292"/>
      <c r="J17" s="451"/>
      <c r="K17" s="452"/>
      <c r="L17" s="452"/>
      <c r="M17" s="449"/>
    </row>
    <row r="18" spans="3:13" x14ac:dyDescent="0.3">
      <c r="F18" s="2"/>
    </row>
  </sheetData>
  <mergeCells count="15">
    <mergeCell ref="F4:N4"/>
    <mergeCell ref="F6:N6"/>
    <mergeCell ref="B8:B15"/>
    <mergeCell ref="A7:A15"/>
    <mergeCell ref="F8:F15"/>
    <mergeCell ref="C8:C11"/>
    <mergeCell ref="D8:D11"/>
    <mergeCell ref="C12:C15"/>
    <mergeCell ref="M8:M15"/>
    <mergeCell ref="E8:E11"/>
    <mergeCell ref="E12:E15"/>
    <mergeCell ref="D12:D15"/>
    <mergeCell ref="J8:J15"/>
    <mergeCell ref="K8:K15"/>
    <mergeCell ref="L8:L15"/>
  </mergeCells>
  <phoneticPr fontId="15" type="noConversion"/>
  <pageMargins left="0.7" right="0.7" top="0.75" bottom="0.75" header="0.3" footer="0.3"/>
  <pageSetup paperSize="9" scale="79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5:N33"/>
  <sheetViews>
    <sheetView topLeftCell="A13" zoomScale="59" zoomScaleNormal="90" workbookViewId="0">
      <selection activeCell="G12" sqref="G12"/>
    </sheetView>
  </sheetViews>
  <sheetFormatPr baseColWidth="10" defaultRowHeight="13" x14ac:dyDescent="0.3"/>
  <cols>
    <col min="2" max="3" width="14.3984375" customWidth="1"/>
    <col min="4" max="4" width="14.09765625" customWidth="1"/>
    <col min="5" max="6" width="17.3984375" customWidth="1"/>
    <col min="7" max="7" width="14.8984375" style="1" customWidth="1"/>
    <col min="8" max="8" width="15" customWidth="1"/>
    <col min="9" max="9" width="18.19921875" customWidth="1"/>
    <col min="10" max="10" width="15.3984375" customWidth="1"/>
    <col min="11" max="12" width="13.296875" customWidth="1"/>
    <col min="13" max="13" width="18.19921875" customWidth="1"/>
  </cols>
  <sheetData>
    <row r="5" spans="1:14" x14ac:dyDescent="0.3">
      <c r="A5" s="3"/>
      <c r="B5" s="3"/>
      <c r="C5" s="544" t="s">
        <v>345</v>
      </c>
      <c r="D5" s="544"/>
      <c r="E5" s="544"/>
      <c r="F5" s="544"/>
      <c r="G5" s="544"/>
      <c r="H5" s="544"/>
      <c r="I5" s="544"/>
      <c r="J5" s="544"/>
      <c r="K5" s="544"/>
      <c r="L5" s="544"/>
      <c r="M5" s="544"/>
      <c r="N5" s="544"/>
    </row>
    <row r="6" spans="1:14" ht="22.5" customHeight="1" x14ac:dyDescent="0.3">
      <c r="A6" s="3"/>
      <c r="B6" s="3"/>
      <c r="C6" s="590" t="s">
        <v>129</v>
      </c>
      <c r="D6" s="590"/>
      <c r="E6" s="590"/>
      <c r="F6" s="590"/>
      <c r="G6" s="590"/>
      <c r="H6" s="590"/>
      <c r="I6" s="590"/>
      <c r="J6" s="590"/>
      <c r="K6" s="590"/>
      <c r="L6" s="590"/>
      <c r="M6" s="590"/>
      <c r="N6" s="590"/>
    </row>
    <row r="7" spans="1:14" ht="24.5" customHeight="1" x14ac:dyDescent="0.35">
      <c r="A7" s="809"/>
      <c r="B7" s="591"/>
      <c r="C7" s="591"/>
      <c r="D7" s="591"/>
      <c r="E7" s="591"/>
      <c r="F7" s="591"/>
      <c r="G7" s="591"/>
      <c r="H7" s="591"/>
      <c r="I7" s="591"/>
      <c r="J7" s="591"/>
      <c r="K7" s="591"/>
      <c r="L7" s="591"/>
      <c r="M7" s="591"/>
      <c r="N7" s="15"/>
    </row>
    <row r="8" spans="1:14" ht="41" customHeight="1" x14ac:dyDescent="0.35">
      <c r="A8" s="6"/>
      <c r="B8" s="13" t="s">
        <v>19</v>
      </c>
      <c r="C8" s="13" t="s">
        <v>351</v>
      </c>
      <c r="D8" s="13" t="s">
        <v>274</v>
      </c>
      <c r="E8" s="13" t="s">
        <v>352</v>
      </c>
      <c r="F8" s="94" t="s">
        <v>335</v>
      </c>
      <c r="G8" s="154" t="s">
        <v>6</v>
      </c>
      <c r="H8" s="808" t="s">
        <v>12</v>
      </c>
      <c r="I8" s="784"/>
      <c r="J8" s="20" t="s">
        <v>27</v>
      </c>
      <c r="K8" s="173" t="s">
        <v>16</v>
      </c>
      <c r="L8" s="17" t="s">
        <v>302</v>
      </c>
      <c r="M8" s="42" t="s">
        <v>390</v>
      </c>
      <c r="N8" s="8"/>
    </row>
    <row r="9" spans="1:14" ht="25" customHeight="1" x14ac:dyDescent="0.3">
      <c r="A9" s="615" t="s">
        <v>346</v>
      </c>
      <c r="B9" s="659">
        <v>3598545.08</v>
      </c>
      <c r="C9" s="658" t="s">
        <v>66</v>
      </c>
      <c r="D9" s="753">
        <v>45622</v>
      </c>
      <c r="E9" s="750">
        <v>3117039.81</v>
      </c>
      <c r="F9" s="480">
        <v>3117039.81</v>
      </c>
      <c r="G9" s="254">
        <v>45460</v>
      </c>
      <c r="H9" s="7" t="s">
        <v>13</v>
      </c>
      <c r="I9" s="50">
        <v>1400000</v>
      </c>
      <c r="J9" s="365" t="s">
        <v>38</v>
      </c>
      <c r="K9" s="659">
        <f>SUM(I9:J13)</f>
        <v>2959854</v>
      </c>
      <c r="L9" s="659">
        <v>155851.81</v>
      </c>
      <c r="M9" s="659">
        <f>E9-K9-L9</f>
        <v>1334.0000000000582</v>
      </c>
    </row>
    <row r="10" spans="1:14" ht="25" customHeight="1" x14ac:dyDescent="0.3">
      <c r="A10" s="783"/>
      <c r="B10" s="610"/>
      <c r="C10" s="480"/>
      <c r="D10" s="754"/>
      <c r="E10" s="751"/>
      <c r="F10" s="480"/>
      <c r="G10" s="254">
        <v>45469</v>
      </c>
      <c r="H10" s="7" t="s">
        <v>130</v>
      </c>
      <c r="I10" s="368">
        <v>359854</v>
      </c>
      <c r="J10" s="366" t="s">
        <v>38</v>
      </c>
      <c r="K10" s="610"/>
      <c r="L10" s="610"/>
      <c r="M10" s="610"/>
    </row>
    <row r="11" spans="1:14" ht="26" customHeight="1" x14ac:dyDescent="0.3">
      <c r="A11" s="783"/>
      <c r="B11" s="610"/>
      <c r="C11" s="480"/>
      <c r="D11" s="754"/>
      <c r="E11" s="751"/>
      <c r="F11" s="480"/>
      <c r="G11" s="249">
        <v>45467</v>
      </c>
      <c r="H11" s="7" t="s">
        <v>68</v>
      </c>
      <c r="I11" s="50">
        <v>80000</v>
      </c>
      <c r="J11" s="365" t="s">
        <v>18</v>
      </c>
      <c r="K11" s="610"/>
      <c r="L11" s="610"/>
      <c r="M11" s="610"/>
    </row>
    <row r="12" spans="1:14" ht="29.5" customHeight="1" x14ac:dyDescent="0.3">
      <c r="A12" s="783"/>
      <c r="B12" s="610"/>
      <c r="C12" s="480"/>
      <c r="D12" s="754"/>
      <c r="E12" s="751"/>
      <c r="F12" s="480"/>
      <c r="G12" s="254">
        <v>45526</v>
      </c>
      <c r="H12" s="7" t="s">
        <v>69</v>
      </c>
      <c r="I12" s="50">
        <v>500000</v>
      </c>
      <c r="J12" s="365" t="s">
        <v>18</v>
      </c>
      <c r="K12" s="610"/>
      <c r="L12" s="610"/>
      <c r="M12" s="610"/>
    </row>
    <row r="13" spans="1:14" ht="29.5" customHeight="1" x14ac:dyDescent="0.3">
      <c r="A13" s="616"/>
      <c r="B13" s="611"/>
      <c r="C13" s="480"/>
      <c r="D13" s="755"/>
      <c r="E13" s="752"/>
      <c r="F13" s="480"/>
      <c r="G13" s="153">
        <v>45630</v>
      </c>
      <c r="H13" s="7" t="s">
        <v>70</v>
      </c>
      <c r="I13" s="281">
        <v>620000</v>
      </c>
      <c r="J13" s="253" t="s">
        <v>38</v>
      </c>
      <c r="K13" s="611"/>
      <c r="L13" s="611"/>
      <c r="M13" s="611"/>
    </row>
    <row r="17" spans="1:13" x14ac:dyDescent="0.3">
      <c r="A17" s="3"/>
      <c r="B17" s="3"/>
      <c r="C17" s="544" t="s">
        <v>128</v>
      </c>
      <c r="D17" s="544"/>
      <c r="E17" s="544"/>
      <c r="F17" s="544"/>
      <c r="G17" s="544"/>
      <c r="H17" s="544"/>
      <c r="I17" s="544"/>
      <c r="J17" s="544"/>
      <c r="K17" s="544"/>
      <c r="L17" s="544"/>
      <c r="M17" s="544"/>
    </row>
    <row r="18" spans="1:13" x14ac:dyDescent="0.3">
      <c r="A18" s="3"/>
      <c r="B18" s="3"/>
      <c r="C18" s="590" t="s">
        <v>133</v>
      </c>
      <c r="D18" s="590"/>
      <c r="E18" s="590"/>
      <c r="F18" s="590"/>
      <c r="G18" s="590"/>
      <c r="H18" s="590"/>
      <c r="I18" s="590"/>
      <c r="J18" s="590"/>
      <c r="K18" s="590"/>
      <c r="L18" s="590"/>
      <c r="M18" s="590"/>
    </row>
    <row r="19" spans="1:13" ht="19" customHeight="1" x14ac:dyDescent="0.35">
      <c r="E19" s="591"/>
      <c r="F19" s="591"/>
      <c r="G19" s="591"/>
      <c r="H19" s="591"/>
      <c r="I19" s="591"/>
      <c r="J19" s="591"/>
      <c r="K19" s="591"/>
      <c r="L19" s="591"/>
      <c r="M19" s="591"/>
    </row>
    <row r="20" spans="1:13" ht="26" x14ac:dyDescent="0.35">
      <c r="A20" s="6"/>
      <c r="B20" s="6"/>
      <c r="C20" s="609" t="s">
        <v>19</v>
      </c>
      <c r="D20" s="609"/>
      <c r="E20" s="65" t="s">
        <v>6</v>
      </c>
      <c r="F20" s="614" t="s">
        <v>12</v>
      </c>
      <c r="G20" s="614"/>
      <c r="H20" s="20" t="s">
        <v>27</v>
      </c>
      <c r="I20" s="89" t="s">
        <v>16</v>
      </c>
      <c r="J20" s="19" t="s">
        <v>23</v>
      </c>
      <c r="K20" s="20" t="s">
        <v>16</v>
      </c>
      <c r="L20" s="13" t="s">
        <v>302</v>
      </c>
      <c r="M20" s="42" t="s">
        <v>293</v>
      </c>
    </row>
    <row r="21" spans="1:13" ht="34" customHeight="1" x14ac:dyDescent="0.3">
      <c r="A21" s="789" t="s">
        <v>346</v>
      </c>
      <c r="B21" s="791" t="s">
        <v>348</v>
      </c>
      <c r="C21" s="802">
        <v>973600</v>
      </c>
      <c r="D21" s="803"/>
      <c r="E21" s="6"/>
      <c r="F21" s="174" t="s">
        <v>13</v>
      </c>
      <c r="G21" s="175">
        <v>700000</v>
      </c>
      <c r="H21" s="595" t="s">
        <v>18</v>
      </c>
      <c r="I21" s="799">
        <f>G21+G22+G26</f>
        <v>3313000</v>
      </c>
      <c r="J21" s="605" t="s">
        <v>339</v>
      </c>
      <c r="K21" s="794">
        <f>G21+G22</f>
        <v>925000</v>
      </c>
      <c r="L21" s="608">
        <v>48000</v>
      </c>
      <c r="M21" s="608">
        <f>C21-K21-L21</f>
        <v>600</v>
      </c>
    </row>
    <row r="22" spans="1:13" x14ac:dyDescent="0.3">
      <c r="A22" s="790"/>
      <c r="B22" s="792"/>
      <c r="C22" s="804"/>
      <c r="D22" s="805"/>
      <c r="E22" s="795">
        <v>45460</v>
      </c>
      <c r="F22" s="797" t="s">
        <v>14</v>
      </c>
      <c r="G22" s="659">
        <v>225000</v>
      </c>
      <c r="H22" s="596"/>
      <c r="I22" s="800"/>
      <c r="J22" s="794"/>
      <c r="K22" s="794"/>
      <c r="L22" s="608"/>
      <c r="M22" s="608"/>
    </row>
    <row r="23" spans="1:13" ht="71.5" customHeight="1" x14ac:dyDescent="0.3">
      <c r="A23" s="790"/>
      <c r="B23" s="793"/>
      <c r="C23" s="806"/>
      <c r="D23" s="807"/>
      <c r="E23" s="796"/>
      <c r="F23" s="798"/>
      <c r="G23" s="611"/>
      <c r="H23" s="596"/>
      <c r="I23" s="800"/>
      <c r="J23" s="794"/>
      <c r="K23" s="794"/>
      <c r="L23" s="608"/>
      <c r="M23" s="608"/>
    </row>
    <row r="24" spans="1:13" ht="54.5" customHeight="1" x14ac:dyDescent="0.3">
      <c r="A24" s="790"/>
      <c r="B24" s="300" t="s">
        <v>347</v>
      </c>
      <c r="C24" s="785"/>
      <c r="D24" s="786"/>
      <c r="E24" s="9"/>
      <c r="F24" s="9"/>
      <c r="G24" s="94"/>
      <c r="H24" s="596"/>
      <c r="I24" s="800"/>
      <c r="J24" s="29">
        <v>115200</v>
      </c>
      <c r="K24" s="6"/>
      <c r="L24" s="18"/>
      <c r="M24" s="29">
        <v>115200</v>
      </c>
    </row>
    <row r="25" spans="1:13" ht="62" customHeight="1" x14ac:dyDescent="0.3">
      <c r="A25" s="790"/>
      <c r="B25" s="300" t="s">
        <v>349</v>
      </c>
      <c r="C25" s="787"/>
      <c r="D25" s="788"/>
      <c r="E25" s="9"/>
      <c r="F25" s="9"/>
      <c r="G25" s="77" t="s">
        <v>1</v>
      </c>
      <c r="H25" s="596"/>
      <c r="I25" s="800"/>
      <c r="J25" s="29">
        <v>18000</v>
      </c>
      <c r="K25" s="6"/>
      <c r="L25" s="18"/>
      <c r="M25" s="29">
        <v>18000</v>
      </c>
    </row>
    <row r="26" spans="1:13" ht="58" customHeight="1" x14ac:dyDescent="0.3">
      <c r="A26" s="790"/>
      <c r="B26" s="300" t="s">
        <v>350</v>
      </c>
      <c r="C26" s="787"/>
      <c r="D26" s="788"/>
      <c r="E26" s="90">
        <v>45662</v>
      </c>
      <c r="F26" s="7" t="s">
        <v>68</v>
      </c>
      <c r="G26" s="29">
        <v>2388000</v>
      </c>
      <c r="H26" s="597"/>
      <c r="I26" s="801"/>
      <c r="J26" s="6"/>
      <c r="K26" s="6"/>
      <c r="L26" s="18"/>
      <c r="M26" s="30"/>
    </row>
    <row r="27" spans="1:13" x14ac:dyDescent="0.3">
      <c r="D27" s="13"/>
    </row>
    <row r="31" spans="1:13" x14ac:dyDescent="0.3">
      <c r="G31" s="76">
        <v>48000</v>
      </c>
      <c r="H31" s="75" t="s">
        <v>162</v>
      </c>
      <c r="I31" s="74"/>
    </row>
    <row r="32" spans="1:13" x14ac:dyDescent="0.3">
      <c r="G32" s="36" t="s">
        <v>163</v>
      </c>
      <c r="H32" s="2" t="s">
        <v>134</v>
      </c>
      <c r="I32" s="36" t="s">
        <v>262</v>
      </c>
    </row>
    <row r="33" spans="7:8" x14ac:dyDescent="0.3">
      <c r="G33" s="1">
        <v>18000</v>
      </c>
      <c r="H33" s="2" t="s">
        <v>135</v>
      </c>
    </row>
  </sheetData>
  <mergeCells count="33">
    <mergeCell ref="A9:A13"/>
    <mergeCell ref="K9:K13"/>
    <mergeCell ref="L9:L13"/>
    <mergeCell ref="C5:N5"/>
    <mergeCell ref="C6:N6"/>
    <mergeCell ref="H8:I8"/>
    <mergeCell ref="A7:M7"/>
    <mergeCell ref="B9:B13"/>
    <mergeCell ref="M21:M23"/>
    <mergeCell ref="J21:J23"/>
    <mergeCell ref="C21:D23"/>
    <mergeCell ref="M9:M13"/>
    <mergeCell ref="C17:M17"/>
    <mergeCell ref="C18:M18"/>
    <mergeCell ref="E19:M19"/>
    <mergeCell ref="F20:G20"/>
    <mergeCell ref="C9:C13"/>
    <mergeCell ref="F9:F13"/>
    <mergeCell ref="C20:D20"/>
    <mergeCell ref="E9:E13"/>
    <mergeCell ref="D9:D13"/>
    <mergeCell ref="H21:H26"/>
    <mergeCell ref="K21:K23"/>
    <mergeCell ref="L21:L23"/>
    <mergeCell ref="E22:E23"/>
    <mergeCell ref="F22:F23"/>
    <mergeCell ref="G22:G23"/>
    <mergeCell ref="I21:I26"/>
    <mergeCell ref="C24:D24"/>
    <mergeCell ref="C25:D25"/>
    <mergeCell ref="C26:D26"/>
    <mergeCell ref="A21:A26"/>
    <mergeCell ref="B21:B23"/>
  </mergeCells>
  <phoneticPr fontId="15" type="noConversion"/>
  <pageMargins left="0.7" right="0.7" top="0.75" bottom="0.75" header="0.3" footer="0.3"/>
  <pageSetup paperSize="9" scale="70" fitToHeight="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N25"/>
  <sheetViews>
    <sheetView view="pageBreakPreview" topLeftCell="A2" zoomScale="90" zoomScaleNormal="100" zoomScaleSheetLayoutView="90" workbookViewId="0">
      <selection activeCell="F9" sqref="F9"/>
    </sheetView>
  </sheetViews>
  <sheetFormatPr baseColWidth="10" defaultRowHeight="13" x14ac:dyDescent="0.3"/>
  <cols>
    <col min="2" max="2" width="16.3984375" customWidth="1"/>
    <col min="3" max="4" width="14.59765625" customWidth="1"/>
    <col min="5" max="5" width="14" customWidth="1"/>
    <col min="6" max="7" width="13.296875" style="1" customWidth="1"/>
    <col min="8" max="9" width="14.19921875" style="1" customWidth="1"/>
    <col min="10" max="10" width="14" customWidth="1"/>
    <col min="11" max="13" width="12.59765625" style="1" customWidth="1"/>
    <col min="14" max="14" width="14.3984375" customWidth="1"/>
  </cols>
  <sheetData>
    <row r="1" spans="1:14" x14ac:dyDescent="0.3">
      <c r="A1" s="543" t="s">
        <v>17</v>
      </c>
      <c r="B1" s="543"/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</row>
    <row r="2" spans="1:14" x14ac:dyDescent="0.3">
      <c r="A2" s="543"/>
      <c r="B2" s="543"/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</row>
    <row r="3" spans="1:14" ht="23" customHeight="1" x14ac:dyDescent="0.3">
      <c r="A3" s="3"/>
      <c r="B3" s="3"/>
      <c r="C3" s="544" t="s">
        <v>174</v>
      </c>
      <c r="D3" s="544"/>
      <c r="E3" s="544"/>
      <c r="F3" s="544"/>
      <c r="G3" s="544"/>
      <c r="H3" s="544"/>
      <c r="I3" s="544"/>
      <c r="J3" s="544"/>
      <c r="K3" s="544"/>
      <c r="L3" s="544"/>
      <c r="M3" s="544"/>
      <c r="N3" s="544"/>
    </row>
    <row r="4" spans="1:14" ht="25.5" customHeight="1" x14ac:dyDescent="0.3">
      <c r="A4" s="3"/>
      <c r="B4" s="3"/>
      <c r="C4" s="12" t="s">
        <v>46</v>
      </c>
      <c r="D4" s="12"/>
      <c r="E4" s="12" t="s">
        <v>177</v>
      </c>
      <c r="F4" s="22"/>
      <c r="G4" s="22"/>
      <c r="H4" s="21"/>
      <c r="I4" s="21"/>
      <c r="J4" s="4"/>
      <c r="K4" s="21"/>
      <c r="L4" s="21"/>
      <c r="M4" s="21"/>
      <c r="N4" s="4"/>
    </row>
    <row r="5" spans="1:14" x14ac:dyDescent="0.3">
      <c r="F5" s="36" t="s">
        <v>1</v>
      </c>
      <c r="G5" s="36"/>
    </row>
    <row r="7" spans="1:14" ht="52.5" customHeight="1" x14ac:dyDescent="0.35">
      <c r="A7" s="6"/>
      <c r="B7" s="333" t="s">
        <v>43</v>
      </c>
      <c r="C7" s="333" t="s">
        <v>23</v>
      </c>
      <c r="D7" s="140" t="s">
        <v>26</v>
      </c>
      <c r="E7" s="333" t="s">
        <v>28</v>
      </c>
      <c r="F7" s="141" t="s">
        <v>44</v>
      </c>
      <c r="G7" s="141" t="s">
        <v>12</v>
      </c>
      <c r="H7" s="141" t="s">
        <v>40</v>
      </c>
      <c r="I7" s="331" t="s">
        <v>253</v>
      </c>
      <c r="J7" s="140" t="s">
        <v>27</v>
      </c>
      <c r="K7" s="142" t="s">
        <v>334</v>
      </c>
      <c r="L7" s="142" t="s">
        <v>335</v>
      </c>
      <c r="M7" s="332" t="s">
        <v>299</v>
      </c>
      <c r="N7" s="333" t="s">
        <v>209</v>
      </c>
    </row>
    <row r="8" spans="1:14" ht="67.75" customHeight="1" x14ac:dyDescent="0.3">
      <c r="A8" s="577" t="s">
        <v>122</v>
      </c>
      <c r="B8" s="813">
        <v>3905000</v>
      </c>
      <c r="C8" s="815" t="s">
        <v>336</v>
      </c>
      <c r="D8" s="817">
        <v>45623</v>
      </c>
      <c r="E8" s="819">
        <v>1845000</v>
      </c>
      <c r="F8" s="334">
        <v>45505</v>
      </c>
      <c r="G8" s="334" t="s">
        <v>315</v>
      </c>
      <c r="H8" s="337">
        <v>1000000</v>
      </c>
      <c r="I8" s="819">
        <f>H8+H9</f>
        <v>1500000</v>
      </c>
      <c r="J8" s="810" t="s">
        <v>175</v>
      </c>
      <c r="K8" s="813">
        <f>E8-I8</f>
        <v>345000</v>
      </c>
      <c r="L8" s="810">
        <f>E8</f>
        <v>1845000</v>
      </c>
      <c r="M8" s="813">
        <v>92250</v>
      </c>
      <c r="N8" s="813">
        <f>E8-I8-M8</f>
        <v>252750</v>
      </c>
    </row>
    <row r="9" spans="1:14" ht="41" customHeight="1" x14ac:dyDescent="0.3">
      <c r="A9" s="812"/>
      <c r="B9" s="814"/>
      <c r="C9" s="816"/>
      <c r="D9" s="818"/>
      <c r="E9" s="820"/>
      <c r="F9" s="335">
        <v>45633</v>
      </c>
      <c r="G9" s="334" t="s">
        <v>316</v>
      </c>
      <c r="H9" s="336">
        <v>500000</v>
      </c>
      <c r="I9" s="820"/>
      <c r="J9" s="811"/>
      <c r="K9" s="814"/>
      <c r="L9" s="811"/>
      <c r="M9" s="814"/>
      <c r="N9" s="814"/>
    </row>
    <row r="11" spans="1:14" x14ac:dyDescent="0.3">
      <c r="N11" s="2" t="s">
        <v>1</v>
      </c>
    </row>
    <row r="25" spans="3:3" x14ac:dyDescent="0.3">
      <c r="C25" t="s">
        <v>1</v>
      </c>
    </row>
  </sheetData>
  <mergeCells count="13">
    <mergeCell ref="A1:N2"/>
    <mergeCell ref="C3:N3"/>
    <mergeCell ref="J8:J9"/>
    <mergeCell ref="A8:A9"/>
    <mergeCell ref="B8:B9"/>
    <mergeCell ref="K8:K9"/>
    <mergeCell ref="L8:L9"/>
    <mergeCell ref="M8:M9"/>
    <mergeCell ref="N8:N9"/>
    <mergeCell ref="C8:C9"/>
    <mergeCell ref="D8:D9"/>
    <mergeCell ref="E8:E9"/>
    <mergeCell ref="I8:I9"/>
  </mergeCells>
  <phoneticPr fontId="15" type="noConversion"/>
  <pageMargins left="0.7" right="0.7" top="0.75" bottom="0.75" header="0.3" footer="0.3"/>
  <pageSetup paperSize="9" scale="75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  <pageSetUpPr fitToPage="1"/>
  </sheetPr>
  <dimension ref="A7:L13"/>
  <sheetViews>
    <sheetView topLeftCell="A4" workbookViewId="0">
      <selection activeCell="A7" sqref="A7:L7"/>
    </sheetView>
  </sheetViews>
  <sheetFormatPr baseColWidth="10" defaultRowHeight="13" x14ac:dyDescent="0.3"/>
  <cols>
    <col min="1" max="1" width="12.796875" bestFit="1" customWidth="1"/>
    <col min="2" max="2" width="12.3984375" customWidth="1"/>
    <col min="3" max="3" width="14.796875" customWidth="1"/>
    <col min="4" max="4" width="12.09765625" customWidth="1"/>
    <col min="5" max="5" width="13.8984375" customWidth="1"/>
    <col min="7" max="7" width="14.19921875" customWidth="1"/>
    <col min="8" max="8" width="14.09765625" customWidth="1"/>
    <col min="10" max="10" width="14.59765625" customWidth="1"/>
    <col min="11" max="11" width="14.09765625" customWidth="1"/>
  </cols>
  <sheetData>
    <row r="7" spans="1:12" ht="24.65" customHeight="1" x14ac:dyDescent="0.3">
      <c r="A7" s="544" t="s">
        <v>172</v>
      </c>
      <c r="B7" s="544"/>
      <c r="C7" s="544"/>
      <c r="D7" s="544"/>
      <c r="E7" s="544"/>
      <c r="F7" s="544"/>
      <c r="G7" s="544"/>
      <c r="H7" s="544"/>
      <c r="I7" s="544"/>
      <c r="J7" s="544"/>
      <c r="K7" s="544"/>
      <c r="L7" s="544"/>
    </row>
    <row r="8" spans="1:12" ht="22.25" customHeight="1" x14ac:dyDescent="0.3">
      <c r="A8" s="590" t="s">
        <v>173</v>
      </c>
      <c r="B8" s="590"/>
      <c r="C8" s="590"/>
      <c r="D8" s="590"/>
      <c r="E8" s="590"/>
      <c r="F8" s="590"/>
      <c r="G8" s="590"/>
      <c r="H8" s="590"/>
      <c r="I8" s="590"/>
      <c r="J8" s="590"/>
      <c r="K8" s="590"/>
      <c r="L8" s="590"/>
    </row>
    <row r="9" spans="1:12" ht="15.5" customHeight="1" x14ac:dyDescent="0.35">
      <c r="A9" s="493" t="s">
        <v>19</v>
      </c>
      <c r="B9" s="493" t="s">
        <v>255</v>
      </c>
      <c r="C9" s="493" t="s">
        <v>256</v>
      </c>
      <c r="D9" s="837" t="s">
        <v>274</v>
      </c>
      <c r="E9" s="825" t="s">
        <v>362</v>
      </c>
      <c r="F9" s="827" t="s">
        <v>6</v>
      </c>
      <c r="G9" s="829" t="s">
        <v>363</v>
      </c>
      <c r="H9" s="831" t="s">
        <v>364</v>
      </c>
      <c r="I9" s="821" t="s">
        <v>27</v>
      </c>
      <c r="J9" s="823" t="s">
        <v>16</v>
      </c>
      <c r="K9" s="766" t="s">
        <v>300</v>
      </c>
      <c r="L9" s="15"/>
    </row>
    <row r="10" spans="1:12" ht="36.5" customHeight="1" x14ac:dyDescent="0.35">
      <c r="A10" s="836"/>
      <c r="B10" s="836"/>
      <c r="C10" s="836"/>
      <c r="D10" s="493"/>
      <c r="E10" s="826"/>
      <c r="F10" s="828"/>
      <c r="G10" s="830"/>
      <c r="H10" s="832"/>
      <c r="I10" s="822"/>
      <c r="J10" s="824"/>
      <c r="K10" s="766"/>
      <c r="L10" s="8"/>
    </row>
    <row r="11" spans="1:12" ht="35" customHeight="1" x14ac:dyDescent="0.3">
      <c r="A11" s="659">
        <v>1657000</v>
      </c>
      <c r="B11" s="838" t="s">
        <v>54</v>
      </c>
      <c r="C11" s="608">
        <v>1360000</v>
      </c>
      <c r="D11" s="608">
        <v>45525</v>
      </c>
      <c r="E11" s="659">
        <f>C11+C13</f>
        <v>1706000</v>
      </c>
      <c r="F11" s="93">
        <v>45526</v>
      </c>
      <c r="G11" s="91" t="s">
        <v>13</v>
      </c>
      <c r="H11" s="30">
        <v>400000</v>
      </c>
      <c r="I11" s="833" t="s">
        <v>18</v>
      </c>
      <c r="J11" s="659">
        <f>H11+H12+H13</f>
        <v>1706000</v>
      </c>
      <c r="K11" s="608">
        <f>E11-J11</f>
        <v>0</v>
      </c>
    </row>
    <row r="12" spans="1:12" ht="25.75" customHeight="1" x14ac:dyDescent="0.3">
      <c r="A12" s="610"/>
      <c r="B12" s="838"/>
      <c r="C12" s="608"/>
      <c r="D12" s="608"/>
      <c r="E12" s="610"/>
      <c r="F12" s="93">
        <v>45559</v>
      </c>
      <c r="G12" s="91" t="s">
        <v>130</v>
      </c>
      <c r="H12" s="30">
        <v>700000</v>
      </c>
      <c r="I12" s="834"/>
      <c r="J12" s="610"/>
      <c r="K12" s="608"/>
    </row>
    <row r="13" spans="1:12" ht="58.5" customHeight="1" x14ac:dyDescent="0.3">
      <c r="A13" s="611"/>
      <c r="B13" s="387" t="s">
        <v>35</v>
      </c>
      <c r="C13" s="91">
        <v>346000</v>
      </c>
      <c r="D13" s="30">
        <v>45594</v>
      </c>
      <c r="E13" s="611"/>
      <c r="F13" s="93">
        <v>45637</v>
      </c>
      <c r="G13" s="91" t="s">
        <v>68</v>
      </c>
      <c r="H13" s="30">
        <v>606000</v>
      </c>
      <c r="I13" s="835"/>
      <c r="J13" s="611"/>
      <c r="K13" s="608"/>
    </row>
  </sheetData>
  <mergeCells count="21">
    <mergeCell ref="A11:A13"/>
    <mergeCell ref="C11:C12"/>
    <mergeCell ref="D11:D12"/>
    <mergeCell ref="A7:L7"/>
    <mergeCell ref="A8:L8"/>
    <mergeCell ref="B9:B10"/>
    <mergeCell ref="C9:C10"/>
    <mergeCell ref="A9:A10"/>
    <mergeCell ref="D9:D10"/>
    <mergeCell ref="B11:B12"/>
    <mergeCell ref="I9:I10"/>
    <mergeCell ref="J9:J10"/>
    <mergeCell ref="K9:K10"/>
    <mergeCell ref="E9:E10"/>
    <mergeCell ref="E11:E13"/>
    <mergeCell ref="F9:F10"/>
    <mergeCell ref="G9:G10"/>
    <mergeCell ref="H9:H10"/>
    <mergeCell ref="I11:I13"/>
    <mergeCell ref="J11:J13"/>
    <mergeCell ref="K11:K13"/>
  </mergeCells>
  <phoneticPr fontId="15" type="noConversion"/>
  <pageMargins left="0.7" right="0.7" top="0.75" bottom="0.75" header="0.3" footer="0.3"/>
  <pageSetup paperSize="9" scale="93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32</vt:i4>
      </vt:variant>
      <vt:variant>
        <vt:lpstr>Plages nommées</vt:lpstr>
      </vt:variant>
      <vt:variant>
        <vt:i4>12</vt:i4>
      </vt:variant>
    </vt:vector>
  </HeadingPairs>
  <TitlesOfParts>
    <vt:vector size="44" baseType="lpstr">
      <vt:lpstr>CREANCE GENERALE</vt:lpstr>
      <vt:lpstr>PENALITE</vt:lpstr>
      <vt:lpstr>CREANCE </vt:lpstr>
      <vt:lpstr>AYTUNC</vt:lpstr>
      <vt:lpstr>AYTUNC VRD</vt:lpstr>
      <vt:lpstr>meziani </vt:lpstr>
      <vt:lpstr>new remex btp nouari</vt:lpstr>
      <vt:lpstr>BELAIDI MOHAMED RIADH</vt:lpstr>
      <vt:lpstr>TELMAT</vt:lpstr>
      <vt:lpstr>BENHADAD </vt:lpstr>
      <vt:lpstr>parabole</vt:lpstr>
      <vt:lpstr>MONOCOUCHE SID</vt:lpstr>
      <vt:lpstr>OXXO</vt:lpstr>
      <vt:lpstr>ahmed monocouche </vt:lpstr>
      <vt:lpstr>edoor</vt:lpstr>
      <vt:lpstr> BIMHA PEINTURE </vt:lpstr>
      <vt:lpstr>BIMHA TERRASSSEMENT</vt:lpstr>
      <vt:lpstr>NOUR JOINT</vt:lpstr>
      <vt:lpstr>PLOMBIER </vt:lpstr>
      <vt:lpstr>SAMIR SOUDEUR </vt:lpstr>
      <vt:lpstr>RAFFA LAHCEN</vt:lpstr>
      <vt:lpstr>DERICHE CUISINE</vt:lpstr>
      <vt:lpstr>ART CUISINE </vt:lpstr>
      <vt:lpstr>BILLEL POSE</vt:lpstr>
      <vt:lpstr>branchement gaz extérieur RT</vt:lpstr>
      <vt:lpstr>ABDELHAFID </vt:lpstr>
      <vt:lpstr>YACHARR</vt:lpstr>
      <vt:lpstr>HAKIM</vt:lpstr>
      <vt:lpstr> YACINE VOILE</vt:lpstr>
      <vt:lpstr>RAMMAS PASSEREL</vt:lpstr>
      <vt:lpstr>FERHAT GAINE TECHNIQUE </vt:lpstr>
      <vt:lpstr>brahim gaine techniq</vt:lpstr>
      <vt:lpstr>' BIMHA PEINTURE '!Zone_d_impression</vt:lpstr>
      <vt:lpstr>' YACINE VOILE'!Zone_d_impression</vt:lpstr>
      <vt:lpstr>'ABDELHAFID '!Zone_d_impression</vt:lpstr>
      <vt:lpstr>'ahmed monocouche '!Zone_d_impression</vt:lpstr>
      <vt:lpstr>'ART CUISINE '!Zone_d_impression</vt:lpstr>
      <vt:lpstr>'AYTUNC VRD'!Zone_d_impression</vt:lpstr>
      <vt:lpstr>'BILLEL POSE'!Zone_d_impression</vt:lpstr>
      <vt:lpstr>'DERICHE CUISINE'!Zone_d_impression</vt:lpstr>
      <vt:lpstr>'new remex btp nouari'!Zone_d_impression</vt:lpstr>
      <vt:lpstr>'PLOMBIER '!Zone_d_impression</vt:lpstr>
      <vt:lpstr>'RAFFA LAHCEN'!Zone_d_impression</vt:lpstr>
      <vt:lpstr>YACHARR!Zone_d_impression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Administrateur</cp:lastModifiedBy>
  <cp:lastPrinted>2025-01-22T15:15:38Z</cp:lastPrinted>
  <dcterms:created xsi:type="dcterms:W3CDTF">2023-12-18T09:05:20Z</dcterms:created>
  <dcterms:modified xsi:type="dcterms:W3CDTF">2025-01-22T18:41:37Z</dcterms:modified>
</cp:coreProperties>
</file>