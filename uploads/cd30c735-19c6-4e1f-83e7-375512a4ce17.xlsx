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5" yWindow="75" windowWidth="14580" windowHeight="5250" firstSheet="25" activeTab="30"/>
  </bookViews>
  <sheets>
    <sheet name="ETATS DES CHEQUES" sheetId="3" r:id="rId1"/>
    <sheet name="ETATS DES SALAIRES" sheetId="4" r:id="rId2"/>
    <sheet name="ETAT ADEL BET" sheetId="5" r:id="rId3"/>
    <sheet name="TERRAIN DE FOES" sheetId="6" r:id="rId4"/>
    <sheet name="FGCMPI-FOES" sheetId="7" r:id="rId5"/>
    <sheet name="IMPOT" sheetId="8" r:id="rId6"/>
    <sheet name="CNAS + CASNOS" sheetId="9" r:id="rId7"/>
    <sheet name="OULED FAYET" sheetId="10" r:id="rId8"/>
    <sheet name="marchandises PLOMBIER" sheetId="11" r:id="rId9"/>
    <sheet name="marchandises ELECTRICIEN" sheetId="12" r:id="rId10"/>
    <sheet name="marchandises ALLUMINUM" sheetId="13" r:id="rId11"/>
    <sheet name="marchandises pinture" sheetId="14" r:id="rId12"/>
    <sheet name="marchandises CIMENT NOIRE" sheetId="15" r:id="rId13"/>
    <sheet name="marchandises CERAMIQUE" sheetId="16" r:id="rId14"/>
    <sheet name="marchandises SABLE 03" sheetId="17" r:id="rId15"/>
    <sheet name="marchandises PC FEAUX+B13+GRIFI" sheetId="18" r:id="rId16"/>
    <sheet name="VERSEMENT 1ER ST WAHAB ALLUM" sheetId="19" r:id="rId17"/>
    <sheet name="MAIN D'OUVRE PINTURE 3 BLOC ABC" sheetId="20" r:id="rId18"/>
    <sheet name="CTC - FOES" sheetId="21" r:id="rId19"/>
    <sheet name="CTC - SAHEL" sheetId="22" r:id="rId20"/>
    <sheet name="ST- CUISINE DAOUD" sheetId="23" r:id="rId21"/>
    <sheet name="ST- ELECTRICITE KARIM" sheetId="24" r:id="rId22"/>
    <sheet name="ST-SOUDURE SAID" sheetId="25" r:id="rId23"/>
    <sheet name="ST-PLOMBIER FAWZI" sheetId="26" r:id="rId24"/>
    <sheet name="ST-RAOUF CES" sheetId="27" r:id="rId25"/>
    <sheet name="ST-PINTURE FODIL RETOUCHE" sheetId="28" r:id="rId26"/>
    <sheet name="ST-BETON IMPRIME" sheetId="29" r:id="rId27"/>
    <sheet name="ST-MADANI PLOMBIER" sheetId="30" r:id="rId28"/>
    <sheet name="ST-AUTOMATISE FAWZI" sheetId="31" r:id="rId29"/>
    <sheet name="ST-ASCENSSEUR FOES (2)" sheetId="34" r:id="rId30"/>
    <sheet name="ST-MEUBLE BOUBKEUR" sheetId="33" r:id="rId31"/>
  </sheets>
  <calcPr calcId="125725"/>
</workbook>
</file>

<file path=xl/calcChain.xml><?xml version="1.0" encoding="utf-8"?>
<calcChain xmlns="http://schemas.openxmlformats.org/spreadsheetml/2006/main">
  <c r="D8" i="34"/>
  <c r="C31" i="9"/>
  <c r="D8" i="31"/>
  <c r="D8" i="33"/>
  <c r="D8" i="30"/>
  <c r="D8" i="29"/>
  <c r="D8" i="28"/>
  <c r="D8" i="27"/>
  <c r="D8" i="26"/>
  <c r="D8" i="25"/>
  <c r="D10" i="24"/>
  <c r="C34" i="10"/>
  <c r="D10" i="23"/>
  <c r="E5"/>
  <c r="E4"/>
  <c r="E3"/>
  <c r="D10" i="22"/>
  <c r="D9" i="21"/>
  <c r="E34" i="11"/>
  <c r="E34" i="12"/>
  <c r="E34" i="13"/>
  <c r="E32" i="14"/>
  <c r="E27" i="15"/>
  <c r="E22" i="17"/>
  <c r="E15" i="16"/>
  <c r="E21" i="18"/>
  <c r="E8"/>
  <c r="D8"/>
  <c r="B8"/>
  <c r="D9" i="19"/>
  <c r="D10" i="20"/>
  <c r="D3"/>
  <c r="C23" i="8"/>
  <c r="C15" i="7"/>
  <c r="C15" i="6"/>
  <c r="C27" i="5"/>
  <c r="D34" i="3"/>
  <c r="D36" i="4"/>
  <c r="C36"/>
  <c r="E36" s="1"/>
</calcChain>
</file>

<file path=xl/sharedStrings.xml><?xml version="1.0" encoding="utf-8"?>
<sst xmlns="http://schemas.openxmlformats.org/spreadsheetml/2006/main" count="474" uniqueCount="240">
  <si>
    <t>N°</t>
  </si>
  <si>
    <t>TOTAL</t>
  </si>
  <si>
    <t>DATE</t>
  </si>
  <si>
    <t>SPA MORTERO</t>
  </si>
  <si>
    <t>SARL MAGRA ROCK</t>
  </si>
  <si>
    <t>CORSO CERAMIQUE</t>
  </si>
  <si>
    <t>SARL BCIMEX</t>
  </si>
  <si>
    <t>SARL CREAL-B</t>
  </si>
  <si>
    <t>SARL MEDIA LIGHT</t>
  </si>
  <si>
    <t>SARL MONO ELECTRIC</t>
  </si>
  <si>
    <t>SARL GREAT ANATOLIYA</t>
  </si>
  <si>
    <t>PROCHIME DEBIANE</t>
  </si>
  <si>
    <t>CHEQUE</t>
  </si>
  <si>
    <t>MONTANT</t>
  </si>
  <si>
    <t>MOTIF</t>
  </si>
  <si>
    <t>MODE</t>
  </si>
  <si>
    <t>FOND/ARGENT</t>
  </si>
  <si>
    <t>MED CAISSE</t>
  </si>
  <si>
    <t>AMENFORT</t>
  </si>
  <si>
    <t>CB BNA - FOES</t>
  </si>
  <si>
    <t>CAISSE</t>
  </si>
  <si>
    <t>SARL CERAMIQUE</t>
  </si>
  <si>
    <t>SARL ANATOLIYA</t>
  </si>
  <si>
    <t>SIT N°01 -HAMID KORIAN</t>
  </si>
  <si>
    <t>SIT N°02 -HAMID KORIAN</t>
  </si>
  <si>
    <t>SIT N°03 - HAMID KORIAN</t>
  </si>
  <si>
    <t>SIT N°04 - HAMID KORIAN</t>
  </si>
  <si>
    <t>LE MOIS</t>
  </si>
  <si>
    <t>TOTAL =</t>
  </si>
  <si>
    <t>RESPONSABLE</t>
  </si>
  <si>
    <t>demi-salaire</t>
  </si>
  <si>
    <t>ETAT(s) DES SALAIRES - PROMOTION DENDANI</t>
  </si>
  <si>
    <t>ETAT(s) DES ACHATS PAR CHEQUE AMENFORT POUR PROMOTION IMMOBILIERE DENDANI</t>
  </si>
  <si>
    <t>ETAT DES SALAIRES JUSQU'À LE MOIS : 04 /2019</t>
  </si>
  <si>
    <t>ETAT(s) DE BET - ADEL DEBIANE --FOES</t>
  </si>
  <si>
    <t xml:space="preserve">MONTANT/AVANCE </t>
  </si>
  <si>
    <t>ACHAT MARTEAU PIQUEUR</t>
  </si>
  <si>
    <t>SOLDE MARTEAU PIQUEUR</t>
  </si>
  <si>
    <t>AVANCE DE TRAVAIL</t>
  </si>
  <si>
    <t>ETUDE DE PROJET FOES</t>
  </si>
  <si>
    <t>SOLDER ETUDE DE PROJET</t>
  </si>
  <si>
    <t xml:space="preserve">AVANCE </t>
  </si>
  <si>
    <t>(M01+M02+M03+M04) / 2017</t>
  </si>
  <si>
    <t>(M05+M06+M07) / 2017</t>
  </si>
  <si>
    <t>(M08+M09+M10) / 2017</t>
  </si>
  <si>
    <t>PAIEMENT</t>
  </si>
  <si>
    <t xml:space="preserve">CAISSE </t>
  </si>
  <si>
    <t>(M11+M12) / 2017</t>
  </si>
  <si>
    <t>M(01+02+03+04+05+06) /2018</t>
  </si>
  <si>
    <t>M(07+08+09) / 2018</t>
  </si>
  <si>
    <t>NON PAYEE</t>
  </si>
  <si>
    <t>TERRAIN PROJET FOES--SARL YAKID L'ISKANE (MAROUANE)</t>
  </si>
  <si>
    <t>ACHAT DE TERRAIN A FOES</t>
  </si>
  <si>
    <t>SOCIETE SARL YAKID L'ISKANE</t>
  </si>
  <si>
    <t>MR MAROUNE</t>
  </si>
  <si>
    <t xml:space="preserve">MONTANT </t>
  </si>
  <si>
    <t>ANNEXE N°01</t>
  </si>
  <si>
    <t>ANNEXE N°02-MODIFICATION</t>
  </si>
  <si>
    <t xml:space="preserve">ATTESTATION FOND DE GARANTIE ET DE CAUTION MUTUELLE DE LA PROMOTION </t>
  </si>
  <si>
    <t>IMMOBILIERE (FGCMPI)--PROJET 146 FOES.</t>
  </si>
  <si>
    <t>DECLARATION G50 IMPOT PROJET FOES 146 LOGEMENTS</t>
  </si>
  <si>
    <t>DESIGNATION</t>
  </si>
  <si>
    <t>OBS</t>
  </si>
  <si>
    <t>G50 /01 /2018</t>
  </si>
  <si>
    <t>G50 /02 /2018</t>
  </si>
  <si>
    <t>G50 /03 /2018</t>
  </si>
  <si>
    <t>G50 /04 /2018</t>
  </si>
  <si>
    <t>G50 /05 /2018</t>
  </si>
  <si>
    <t>G50 /06 /2018</t>
  </si>
  <si>
    <t>G50 /07 /2018</t>
  </si>
  <si>
    <t>G50 /08 /2018</t>
  </si>
  <si>
    <t>G50 /09 /2018</t>
  </si>
  <si>
    <t>G50 /10 /2018</t>
  </si>
  <si>
    <t>G50 /11 /2018</t>
  </si>
  <si>
    <t>G50 /12 /2018</t>
  </si>
  <si>
    <t>G50 / MOIS/2016</t>
  </si>
  <si>
    <t>G50 / MOIS /2017</t>
  </si>
  <si>
    <t>DECLARATION DE (99) CLIENTS</t>
  </si>
  <si>
    <t>IRG DES SALAIRES</t>
  </si>
  <si>
    <t>12 MOIS / 2016</t>
  </si>
  <si>
    <t>12 MOIS / 2017</t>
  </si>
  <si>
    <t>DECLARATION DES : G50 / MOIS / ANNEE</t>
  </si>
  <si>
    <t>DECLARATION COTISATION CNAS</t>
  </si>
  <si>
    <t>PROJET DE 146 LOGEMENTS A FOES</t>
  </si>
  <si>
    <t>ACHAT DE TERRAIN OULED FAYET + TRAVAUX BUREAU</t>
  </si>
  <si>
    <t>TRANSPORT DE POCLAIN SAMIR</t>
  </si>
  <si>
    <t>ETUDE DE SOL DE TERRAIN OULED FAYET</t>
  </si>
  <si>
    <t>PAR CHEQUE</t>
  </si>
  <si>
    <t>FRAIS DE NOTAIRE CHERAGA MAITRE NEGUISSE</t>
  </si>
  <si>
    <t>ESPACE</t>
  </si>
  <si>
    <t>1 ERE AVANCE ACHAT TERRAIN OULED FAYET HAMID</t>
  </si>
  <si>
    <t>2 ERE AVANCE ACHAT TERRAIN OULED FAYET HAMID</t>
  </si>
  <si>
    <t>3 EME AVANCE ACHAT TERRAIN OULED FAYET HAMID</t>
  </si>
  <si>
    <t>4 EME AVANCE DE 02 APPARTEMENT DE SAHEL</t>
  </si>
  <si>
    <t>1 ERE AVANCE COMMISSION OUSSAMA TERRAIN</t>
  </si>
  <si>
    <t>2 EME AVANCE COMMISSION OUSSAMA TERRAIN</t>
  </si>
  <si>
    <t>1 ERE AVANCE GABION ABDERRAHMANE</t>
  </si>
  <si>
    <t>2 EME AVANCE GABION ABDERRAHMANE</t>
  </si>
  <si>
    <t>3 EME AVANCE GABION ABDERRAHMANE</t>
  </si>
  <si>
    <t>4 EME AVANCE GABION ABDERRAHMANE</t>
  </si>
  <si>
    <t>1 ERE AVANCE OUSSAMA SOURI-TRAVAUX</t>
  </si>
  <si>
    <t>2 EME AVANCE OUSSAMA SOURI-TRAVAUX</t>
  </si>
  <si>
    <t>3 EME AVANCE OUSSAMA SOURI-TRAVAUX</t>
  </si>
  <si>
    <t>4 EME AVANCE OUSSAMA SOURI-TRAVAUX</t>
  </si>
  <si>
    <t>1 ERE AVANCE ETB OUSSAMA BOUMERDES</t>
  </si>
  <si>
    <t>2 ERE AVANCE ETB OUSSAMA BOUMERDES</t>
  </si>
  <si>
    <t>FRAS DE LOCATION DE BUREAU A OULED FAYET</t>
  </si>
  <si>
    <t>3 ERE AVANCE ETB OUSSAMA BOUMERDES</t>
  </si>
  <si>
    <t>SOLDER SITUATION ETB OUSSAMA BOUMERDES</t>
  </si>
  <si>
    <t>AVANCE REMPE D'ESCALIER + VITRINE OUSSAMA SOURRI</t>
  </si>
  <si>
    <t>AVANCE ZEGAGH FENETRE PVC</t>
  </si>
  <si>
    <t>OUSSAMA SOURRI TRAVAUX PINTURE</t>
  </si>
  <si>
    <t xml:space="preserve">TRAVAUX DES VITRINE </t>
  </si>
  <si>
    <t>TOPOGRAPHE TERRAIN OULED FAYET</t>
  </si>
  <si>
    <t>SOLDER LA RAMPE D'ESCALIER</t>
  </si>
  <si>
    <t xml:space="preserve">MARCHANDISES D'ELECTRICITE </t>
  </si>
  <si>
    <t>MARCHANDISE DE PLOMBIER</t>
  </si>
  <si>
    <t xml:space="preserve">MARCHANDISES DE CIMENT NOIR </t>
  </si>
  <si>
    <t xml:space="preserve">MARCHANDISES DE PINTURE </t>
  </si>
  <si>
    <t>B13</t>
  </si>
  <si>
    <t>GRIFFI</t>
  </si>
  <si>
    <t>PORT COUP FEAUX</t>
  </si>
  <si>
    <t xml:space="preserve">MARCHANDISES DE L'ALLUMINUM </t>
  </si>
  <si>
    <t>MARCHANDISE DE CERAMIQUE</t>
  </si>
  <si>
    <t>MARCHANDISE DE SABLE 0/3</t>
  </si>
  <si>
    <t>VERSEMENT ETB WAHIB ALLUMINUM</t>
  </si>
  <si>
    <t>MAIN D'OUVRE PINTURE 03 BLOC A+B+C</t>
  </si>
  <si>
    <t xml:space="preserve">MAIN D'OUVRE DES TRAVAUX DE PINTURE </t>
  </si>
  <si>
    <t>PROJET DE FOES 146 LOGEMENTS PROMOTIONNEL</t>
  </si>
  <si>
    <t>ARRETEE LE PRESENT DEVIS A LA SOMME DE :</t>
  </si>
  <si>
    <t>QUATORZE MILLIONS NEUF CENT QUATRE VINGT DIX NEUF MILLE SEPT CENT QUARANTE DINARS</t>
  </si>
  <si>
    <t>Prix/Unitaire</t>
  </si>
  <si>
    <t>quantités</t>
  </si>
  <si>
    <t xml:space="preserve">DESIGNATION DES TRAVAUX </t>
  </si>
  <si>
    <t>Versement pour Ets Wahib lot ALLUMINUM</t>
  </si>
  <si>
    <t>1ere versement</t>
  </si>
  <si>
    <t>2ème versement</t>
  </si>
  <si>
    <t>3ème versement</t>
  </si>
  <si>
    <t>4ème versement</t>
  </si>
  <si>
    <t>5ème versement</t>
  </si>
  <si>
    <t>6ème versement</t>
  </si>
  <si>
    <t>versement</t>
  </si>
  <si>
    <t>A DEDUIRE LE MONTANT DE VERSEMENT ANIEM DOSSIERS CTA</t>
  </si>
  <si>
    <t>MARCHANDISE DEVIRS</t>
  </si>
  <si>
    <t>PORT COUP FEAUX + B13 + GRIFIER</t>
  </si>
  <si>
    <t>TOTAL GENERAL =</t>
  </si>
  <si>
    <t xml:space="preserve">TOTAL = </t>
  </si>
  <si>
    <t>versement de ANIEM (CTA)</t>
  </si>
  <si>
    <t>CASNOS - 2016</t>
  </si>
  <si>
    <t>CASNOS - 2017</t>
  </si>
  <si>
    <t>CASNOS - 2018</t>
  </si>
  <si>
    <t>CNAS - 2016 -T1/16</t>
  </si>
  <si>
    <t>CNAS - 2016 -T2/16</t>
  </si>
  <si>
    <t>CNAS - 2016 -T3/16</t>
  </si>
  <si>
    <t>CNAS - 2017 - T1/17</t>
  </si>
  <si>
    <t>CNAS - 2017 - T2/17</t>
  </si>
  <si>
    <t>CNAS - 2017 - T4/17</t>
  </si>
  <si>
    <t>CNAS - 2018 - T1/18</t>
  </si>
  <si>
    <t>CNAS -2017 - T3/17</t>
  </si>
  <si>
    <t>CNAS - 2017 - T4/16</t>
  </si>
  <si>
    <t>CNAS - 2016 -T4/15</t>
  </si>
  <si>
    <t>CNAS - 2018 - T2/18</t>
  </si>
  <si>
    <t>CNAS - 2018 - MOIS 06+07</t>
  </si>
  <si>
    <t>CNAS - 2018 - MOIS 04+05</t>
  </si>
  <si>
    <t>CNAS - 2018 - MOIS 08</t>
  </si>
  <si>
    <t>CNAS - 2018 - MOIS 09</t>
  </si>
  <si>
    <t>CNAS - 2018 - MOIS 10</t>
  </si>
  <si>
    <t>CNAS - 2018 - MOIS 11</t>
  </si>
  <si>
    <t>CNAS - 2018 - MOIS 12</t>
  </si>
  <si>
    <t>CNAS - 2019 - MOIS 01</t>
  </si>
  <si>
    <t>CNAS - 2019 - MOIS 02</t>
  </si>
  <si>
    <t>CNAS - 2019 - MOIS 03</t>
  </si>
  <si>
    <t>CNAS - 2019 - MOIS 04</t>
  </si>
  <si>
    <t>ETAT DE PAIEMENT (CTC) - SUIVI - PROJET A FOES</t>
  </si>
  <si>
    <t>DESIGNATION DE PAIEMENT</t>
  </si>
  <si>
    <t>2 EME FACTURE DE SUIVI CTC - FOES</t>
  </si>
  <si>
    <t>1 ERE FACTURE DE SUIVI CTC - FOES</t>
  </si>
  <si>
    <t>3 EME FACTURE DE SUIVI CTC - FOES</t>
  </si>
  <si>
    <t>ETAT DE PAIEMENT (CTC) - SUIVI - PROJET A SAHEL</t>
  </si>
  <si>
    <t>FACTURE DE CTH PROJET CANAL A SAHEL</t>
  </si>
  <si>
    <t>SOUS TRAITANT TRVAVUX CUISINE - DAOUD</t>
  </si>
  <si>
    <t xml:space="preserve">TRAVAUX BLOC   "A" </t>
  </si>
  <si>
    <t>TRAVAUX BLOC   "B"</t>
  </si>
  <si>
    <t>TRAVAUX BLOC   "C"</t>
  </si>
  <si>
    <t xml:space="preserve">DESIGNATION DE TRAVAUX </t>
  </si>
  <si>
    <t>QUANTITE</t>
  </si>
  <si>
    <t>P/Unitaire</t>
  </si>
  <si>
    <t>TOTAL  =</t>
  </si>
  <si>
    <t>BLOC</t>
  </si>
  <si>
    <t>A + B + C</t>
  </si>
  <si>
    <t>LOT D'ELECTRICITE</t>
  </si>
  <si>
    <t>DE LA RESIDENCE EDEN A FOES</t>
  </si>
  <si>
    <t>TRAVAUX DES ELECTRICITE REALISE</t>
  </si>
  <si>
    <t>S/SOL + VRD</t>
  </si>
  <si>
    <t>TRAVAUX DE S/SOL + TRAVAUX DE VRD</t>
  </si>
  <si>
    <t>SOUS TRAITANT TRVAVUX D'ELECTRICITE - KARIM</t>
  </si>
  <si>
    <t>SOUS TRAITANT TRVAVUX DE SOUDURE - SAID</t>
  </si>
  <si>
    <t>TRAVAUX DE FERROUNIER A FOES</t>
  </si>
  <si>
    <t>TRAVAUX DE L'ALICO BAND A FOES</t>
  </si>
  <si>
    <t>TRAVAUX DE L'ALLUMINUM A FOES</t>
  </si>
  <si>
    <t>TRAVAUX DE BOIS (PORTES INTERIEUR)</t>
  </si>
  <si>
    <t>DEVIS GENERAL</t>
  </si>
  <si>
    <t>146 FOES</t>
  </si>
  <si>
    <t>SOUS TRAITANT TRVAVUX DE PLOMBIER - FAWZI</t>
  </si>
  <si>
    <t xml:space="preserve">TRAVAUX DE PLOMBIER GENERALE DE </t>
  </si>
  <si>
    <t xml:space="preserve">PROJET A FOES 146 LOGEMENTS </t>
  </si>
  <si>
    <t xml:space="preserve">LOT PLOMBIER </t>
  </si>
  <si>
    <t>SOUS TRAITANT TRVAVUX DE CES - RAOUF</t>
  </si>
  <si>
    <t>TRAVAUX DE FAIENCE EXTERIEUR VRD</t>
  </si>
  <si>
    <t>FAIENCE EXTERIEUR</t>
  </si>
  <si>
    <t xml:space="preserve">TRAVAUX DE PINTURE RETOUCHE DE LA </t>
  </si>
  <si>
    <t xml:space="preserve">RESIDENCE A FOES 146 LOGEMENTS </t>
  </si>
  <si>
    <t>TRAVAUX PINTURE</t>
  </si>
  <si>
    <t>SOUS TRAITANT TRVAVUX PINTURE - FODIL</t>
  </si>
  <si>
    <t>TRAVAUX DE BETON IMPRIME DE VRD</t>
  </si>
  <si>
    <t xml:space="preserve">DE LA RESIDENCE EDEN 146 LOGEMENTS </t>
  </si>
  <si>
    <t>BETON IMPRIME</t>
  </si>
  <si>
    <t xml:space="preserve">TRAVAUX DE MONTAGE DES TROIS </t>
  </si>
  <si>
    <t>ASCENSSEURS BLOC (A+B+C)</t>
  </si>
  <si>
    <t>SOUS TRAITANT TRVAVUX DE BETON IMPRIME</t>
  </si>
  <si>
    <t>TRAVAUX DE PLOMBIER RETOUCHES</t>
  </si>
  <si>
    <t>DE LA RESIDENCE EDEN 146 LGTS</t>
  </si>
  <si>
    <t>SOUS TRAITANT TRVAVUX DE PLOMBIE-MADANI</t>
  </si>
  <si>
    <t>SOUS TRAITANT: AUTOMATISME + CAMERA-YACINE</t>
  </si>
  <si>
    <t>3 EME  AVANCE TRAVAUX AUTOMATISME</t>
  </si>
  <si>
    <t>2 EME  AVANCE TRAVAUX AUTOMATISME</t>
  </si>
  <si>
    <t>1 ERE  AVANCE TRAVAUX AUTOMATISME</t>
  </si>
  <si>
    <t>4 EME  AVANCE TRAVAUX AUTOMATISME</t>
  </si>
  <si>
    <t>5 EME  AVANCE TRAVAUX AUTOMATISME</t>
  </si>
  <si>
    <t>SOUS TRAITANT D'ACHAT DE MEUBLE-BOUBKEUR</t>
  </si>
  <si>
    <t>ACHAT DE TROIS (03) ASCENSSEUR - FOES</t>
  </si>
  <si>
    <t>CHEQUE BNA</t>
  </si>
  <si>
    <t>ACHAT DE MEUBLE SANITAIRE</t>
  </si>
  <si>
    <t>30/02/2019</t>
  </si>
  <si>
    <t>MONTANT D'ACHAT = 61 200 EURO</t>
  </si>
  <si>
    <t>COMPTE FOES</t>
  </si>
  <si>
    <t>FRAIS DE DOUANE ASCENSSEUR</t>
  </si>
  <si>
    <t>SOUS TRAITANT D'ACHAT DE L'ASCENSSEUR (MP) ESPAIN</t>
  </si>
  <si>
    <t>//////</t>
  </si>
  <si>
    <t>/////</t>
  </si>
</sst>
</file>

<file path=xl/styles.xml><?xml version="1.0" encoding="utf-8"?>
<styleSheet xmlns="http://schemas.openxmlformats.org/spreadsheetml/2006/main">
  <fonts count="5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3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3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C00000"/>
      <name val="Arial Black"/>
      <family val="2"/>
    </font>
    <font>
      <b/>
      <sz val="16"/>
      <color theme="3" tint="-0.249977111117893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8"/>
      <color rgb="FFC00000"/>
      <name val="Arial Black"/>
      <family val="2"/>
    </font>
    <font>
      <b/>
      <sz val="16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3" tint="-0.249977111117893"/>
      <name val="Arial Black"/>
      <family val="2"/>
    </font>
    <font>
      <b/>
      <sz val="20"/>
      <color theme="3" tint="-0.249977111117893"/>
      <name val="Arial Black"/>
      <family val="2"/>
    </font>
    <font>
      <b/>
      <sz val="16"/>
      <color theme="3" tint="-0.249977111117893"/>
      <name val="Arial Black"/>
      <family val="2"/>
    </font>
    <font>
      <b/>
      <sz val="24"/>
      <color rgb="FF0070C0"/>
      <name val="Arial Black"/>
      <family val="2"/>
    </font>
    <font>
      <b/>
      <sz val="20"/>
      <color rgb="FF0070C0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i/>
      <u/>
      <sz val="14"/>
      <color theme="3" tint="-0.249977111117893"/>
      <name val="Calibri"/>
      <family val="2"/>
      <scheme val="minor"/>
    </font>
    <font>
      <b/>
      <sz val="15"/>
      <color theme="3" tint="-0.249977111117893"/>
      <name val="Calibri"/>
      <family val="2"/>
      <scheme val="minor"/>
    </font>
    <font>
      <b/>
      <sz val="14"/>
      <color theme="3" tint="-0.249977111117893"/>
      <name val="Arial Black"/>
      <family val="2"/>
    </font>
    <font>
      <b/>
      <sz val="18"/>
      <color theme="3" tint="-0.249977111117893"/>
      <name val="Arial Black"/>
      <family val="2"/>
    </font>
    <font>
      <sz val="12"/>
      <color theme="1"/>
      <name val="Calibri"/>
      <family val="2"/>
      <scheme val="minor"/>
    </font>
    <font>
      <b/>
      <sz val="19"/>
      <color theme="3" tint="-0.249977111117893"/>
      <name val="Arial Black"/>
      <family val="2"/>
    </font>
    <font>
      <b/>
      <sz val="12"/>
      <color theme="3" tint="-0.249977111117893"/>
      <name val="Arial Black"/>
      <family val="2"/>
    </font>
    <font>
      <sz val="16"/>
      <color theme="3" tint="-0.249977111117893"/>
      <name val="Arial Black"/>
      <family val="2"/>
    </font>
    <font>
      <b/>
      <sz val="24"/>
      <color theme="3" tint="-0.249977111117893"/>
      <name val="Arial Black"/>
      <family val="2"/>
    </font>
    <font>
      <sz val="18"/>
      <color theme="3" tint="-0.249977111117893"/>
      <name val="Arial Black"/>
      <family val="2"/>
    </font>
    <font>
      <b/>
      <sz val="24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2" fontId="0" fillId="0" borderId="0" xfId="0" applyNumberFormat="1"/>
    <xf numFmtId="0" fontId="5" fillId="0" borderId="1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2" fontId="8" fillId="0" borderId="23" xfId="0" applyNumberFormat="1" applyFont="1" applyBorder="1" applyAlignment="1">
      <alignment horizontal="right"/>
    </xf>
    <xf numFmtId="14" fontId="7" fillId="0" borderId="14" xfId="0" applyNumberFormat="1" applyFont="1" applyBorder="1" applyAlignment="1">
      <alignment horizontal="center"/>
    </xf>
    <xf numFmtId="2" fontId="7" fillId="0" borderId="14" xfId="0" applyNumberFormat="1" applyFont="1" applyBorder="1"/>
    <xf numFmtId="0" fontId="7" fillId="0" borderId="23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2" fontId="8" fillId="0" borderId="24" xfId="0" applyNumberFormat="1" applyFont="1" applyBorder="1" applyAlignment="1">
      <alignment horizontal="right"/>
    </xf>
    <xf numFmtId="14" fontId="7" fillId="0" borderId="15" xfId="0" applyNumberFormat="1" applyFont="1" applyBorder="1" applyAlignment="1">
      <alignment horizontal="center"/>
    </xf>
    <xf numFmtId="2" fontId="7" fillId="0" borderId="15" xfId="0" applyNumberFormat="1" applyFont="1" applyBorder="1"/>
    <xf numFmtId="0" fontId="7" fillId="0" borderId="24" xfId="0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2" fontId="8" fillId="0" borderId="25" xfId="0" applyNumberFormat="1" applyFont="1" applyBorder="1" applyAlignment="1">
      <alignment horizontal="right"/>
    </xf>
    <xf numFmtId="14" fontId="7" fillId="0" borderId="22" xfId="0" applyNumberFormat="1" applyFont="1" applyBorder="1" applyAlignment="1">
      <alignment horizontal="center"/>
    </xf>
    <xf numFmtId="2" fontId="7" fillId="0" borderId="22" xfId="0" applyNumberFormat="1" applyFont="1" applyBorder="1"/>
    <xf numFmtId="0" fontId="7" fillId="0" borderId="25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0" borderId="13" xfId="0" applyNumberFormat="1" applyFont="1" applyBorder="1" applyAlignment="1">
      <alignment horizontal="right"/>
    </xf>
    <xf numFmtId="14" fontId="7" fillId="0" borderId="1" xfId="0" applyNumberFormat="1" applyFont="1" applyBorder="1" applyAlignment="1">
      <alignment horizontal="center"/>
    </xf>
    <xf numFmtId="0" fontId="9" fillId="0" borderId="1" xfId="0" applyFont="1" applyBorder="1"/>
    <xf numFmtId="2" fontId="7" fillId="0" borderId="13" xfId="0" applyNumberFormat="1" applyFont="1" applyBorder="1"/>
    <xf numFmtId="0" fontId="8" fillId="0" borderId="1" xfId="0" applyFont="1" applyBorder="1" applyAlignment="1">
      <alignment horizontal="left"/>
    </xf>
    <xf numFmtId="0" fontId="10" fillId="0" borderId="25" xfId="0" applyFont="1" applyBorder="1" applyAlignment="1">
      <alignment horizontal="right"/>
    </xf>
    <xf numFmtId="0" fontId="9" fillId="0" borderId="22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2" fontId="7" fillId="0" borderId="1" xfId="0" applyNumberFormat="1" applyFont="1" applyBorder="1"/>
    <xf numFmtId="0" fontId="7" fillId="0" borderId="1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2" fontId="7" fillId="0" borderId="12" xfId="0" applyNumberFormat="1" applyFont="1" applyBorder="1"/>
    <xf numFmtId="0" fontId="8" fillId="0" borderId="0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2" fontId="6" fillId="2" borderId="26" xfId="0" applyNumberFormat="1" applyFont="1" applyFill="1" applyBorder="1"/>
    <xf numFmtId="0" fontId="9" fillId="2" borderId="11" xfId="0" applyFont="1" applyFill="1" applyBorder="1"/>
    <xf numFmtId="0" fontId="11" fillId="2" borderId="26" xfId="0" applyFont="1" applyFill="1" applyBorder="1" applyAlignment="1">
      <alignment horizontal="center"/>
    </xf>
    <xf numFmtId="0" fontId="9" fillId="0" borderId="13" xfId="0" applyFon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2" fontId="12" fillId="0" borderId="1" xfId="0" applyNumberFormat="1" applyFont="1" applyBorder="1"/>
    <xf numFmtId="0" fontId="13" fillId="0" borderId="3" xfId="0" applyFont="1" applyBorder="1" applyAlignment="1">
      <alignment horizontal="left"/>
    </xf>
    <xf numFmtId="2" fontId="12" fillId="0" borderId="15" xfId="0" applyNumberFormat="1" applyFont="1" applyBorder="1"/>
    <xf numFmtId="0" fontId="13" fillId="0" borderId="24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4" fillId="0" borderId="0" xfId="0" applyFont="1" applyAlignment="1">
      <alignment horizontal="center"/>
    </xf>
    <xf numFmtId="17" fontId="5" fillId="0" borderId="14" xfId="0" applyNumberFormat="1" applyFont="1" applyBorder="1" applyAlignment="1">
      <alignment horizontal="center"/>
    </xf>
    <xf numFmtId="17" fontId="5" fillId="0" borderId="15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7" fillId="5" borderId="0" xfId="0" applyFont="1" applyFill="1" applyBorder="1" applyAlignment="1">
      <alignment horizontal="center"/>
    </xf>
    <xf numFmtId="0" fontId="9" fillId="5" borderId="0" xfId="0" applyFont="1" applyFill="1" applyBorder="1"/>
    <xf numFmtId="2" fontId="7" fillId="5" borderId="0" xfId="0" applyNumberFormat="1" applyFont="1" applyFill="1" applyBorder="1"/>
    <xf numFmtId="0" fontId="7" fillId="5" borderId="0" xfId="0" applyFont="1" applyFill="1" applyBorder="1" applyAlignment="1"/>
    <xf numFmtId="0" fontId="6" fillId="5" borderId="0" xfId="0" applyFont="1" applyFill="1" applyBorder="1" applyAlignment="1"/>
    <xf numFmtId="0" fontId="0" fillId="5" borderId="0" xfId="0" applyFill="1" applyBorder="1"/>
    <xf numFmtId="0" fontId="22" fillId="0" borderId="10" xfId="0" applyFont="1" applyBorder="1"/>
    <xf numFmtId="0" fontId="22" fillId="0" borderId="27" xfId="0" applyFont="1" applyBorder="1"/>
    <xf numFmtId="0" fontId="22" fillId="0" borderId="28" xfId="0" applyFont="1" applyBorder="1"/>
    <xf numFmtId="0" fontId="23" fillId="4" borderId="1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17" fontId="23" fillId="0" borderId="29" xfId="0" applyNumberFormat="1" applyFont="1" applyBorder="1" applyAlignment="1">
      <alignment horizontal="left"/>
    </xf>
    <xf numFmtId="2" fontId="23" fillId="0" borderId="17" xfId="0" applyNumberFormat="1" applyFont="1" applyBorder="1" applyAlignment="1">
      <alignment horizontal="right"/>
    </xf>
    <xf numFmtId="2" fontId="23" fillId="0" borderId="29" xfId="0" applyNumberFormat="1" applyFont="1" applyBorder="1" applyAlignment="1">
      <alignment horizontal="right"/>
    </xf>
    <xf numFmtId="0" fontId="17" fillId="0" borderId="15" xfId="0" applyFont="1" applyBorder="1" applyAlignment="1">
      <alignment horizontal="center"/>
    </xf>
    <xf numFmtId="17" fontId="23" fillId="0" borderId="24" xfId="0" applyNumberFormat="1" applyFont="1" applyBorder="1" applyAlignment="1">
      <alignment horizontal="left"/>
    </xf>
    <xf numFmtId="2" fontId="23" fillId="0" borderId="15" xfId="0" applyNumberFormat="1" applyFont="1" applyBorder="1" applyAlignment="1">
      <alignment horizontal="right"/>
    </xf>
    <xf numFmtId="2" fontId="23" fillId="0" borderId="24" xfId="0" applyNumberFormat="1" applyFont="1" applyBorder="1" applyAlignment="1">
      <alignment horizontal="right"/>
    </xf>
    <xf numFmtId="0" fontId="17" fillId="0" borderId="22" xfId="0" applyFont="1" applyBorder="1" applyAlignment="1">
      <alignment horizontal="center"/>
    </xf>
    <xf numFmtId="17" fontId="23" fillId="0" borderId="25" xfId="0" applyNumberFormat="1" applyFont="1" applyBorder="1" applyAlignment="1">
      <alignment horizontal="left"/>
    </xf>
    <xf numFmtId="2" fontId="23" fillId="0" borderId="22" xfId="0" applyNumberFormat="1" applyFont="1" applyBorder="1" applyAlignment="1">
      <alignment horizontal="right"/>
    </xf>
    <xf numFmtId="2" fontId="23" fillId="0" borderId="25" xfId="0" applyNumberFormat="1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17" fontId="23" fillId="0" borderId="13" xfId="0" applyNumberFormat="1" applyFont="1" applyBorder="1" applyAlignment="1">
      <alignment horizontal="left"/>
    </xf>
    <xf numFmtId="2" fontId="23" fillId="0" borderId="1" xfId="0" applyNumberFormat="1" applyFont="1" applyBorder="1" applyAlignment="1">
      <alignment horizontal="right"/>
    </xf>
    <xf numFmtId="2" fontId="23" fillId="0" borderId="13" xfId="0" applyNumberFormat="1" applyFont="1" applyBorder="1" applyAlignment="1">
      <alignment horizontal="right"/>
    </xf>
    <xf numFmtId="0" fontId="17" fillId="0" borderId="14" xfId="0" applyFont="1" applyBorder="1" applyAlignment="1">
      <alignment horizontal="center"/>
    </xf>
    <xf numFmtId="17" fontId="23" fillId="0" borderId="23" xfId="0" applyNumberFormat="1" applyFont="1" applyBorder="1" applyAlignment="1">
      <alignment horizontal="left"/>
    </xf>
    <xf numFmtId="2" fontId="23" fillId="0" borderId="14" xfId="0" applyNumberFormat="1" applyFont="1" applyBorder="1" applyAlignment="1">
      <alignment horizontal="right"/>
    </xf>
    <xf numFmtId="2" fontId="23" fillId="0" borderId="23" xfId="0" applyNumberFormat="1" applyFont="1" applyBorder="1" applyAlignment="1">
      <alignment horizontal="right"/>
    </xf>
    <xf numFmtId="2" fontId="23" fillId="2" borderId="1" xfId="0" applyNumberFormat="1" applyFont="1" applyFill="1" applyBorder="1" applyAlignment="1">
      <alignment horizontal="right"/>
    </xf>
    <xf numFmtId="2" fontId="23" fillId="2" borderId="13" xfId="0" applyNumberFormat="1" applyFont="1" applyFill="1" applyBorder="1" applyAlignment="1">
      <alignment horizontal="center"/>
    </xf>
    <xf numFmtId="17" fontId="5" fillId="0" borderId="22" xfId="0" applyNumberFormat="1" applyFont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16" fillId="0" borderId="0" xfId="0" applyFont="1" applyBorder="1"/>
    <xf numFmtId="0" fontId="23" fillId="0" borderId="15" xfId="0" applyNumberFormat="1" applyFont="1" applyBorder="1" applyAlignment="1">
      <alignment horizontal="right"/>
    </xf>
    <xf numFmtId="0" fontId="23" fillId="0" borderId="22" xfId="0" applyNumberFormat="1" applyFont="1" applyBorder="1" applyAlignment="1">
      <alignment horizontal="right"/>
    </xf>
    <xf numFmtId="2" fontId="15" fillId="5" borderId="1" xfId="0" applyNumberFormat="1" applyFont="1" applyFill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2" fontId="23" fillId="0" borderId="26" xfId="0" applyNumberFormat="1" applyFont="1" applyBorder="1" applyAlignment="1">
      <alignment horizontal="right"/>
    </xf>
    <xf numFmtId="14" fontId="23" fillId="0" borderId="11" xfId="0" applyNumberFormat="1" applyFont="1" applyBorder="1" applyAlignment="1">
      <alignment horizontal="center"/>
    </xf>
    <xf numFmtId="2" fontId="23" fillId="0" borderId="26" xfId="0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2" fontId="23" fillId="0" borderId="3" xfId="0" applyNumberFormat="1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2" fontId="23" fillId="0" borderId="0" xfId="0" applyNumberFormat="1" applyFont="1" applyBorder="1" applyAlignment="1">
      <alignment horizontal="right"/>
    </xf>
    <xf numFmtId="14" fontId="23" fillId="0" borderId="12" xfId="0" applyNumberFormat="1" applyFont="1" applyBorder="1" applyAlignment="1">
      <alignment horizontal="center"/>
    </xf>
    <xf numFmtId="2" fontId="23" fillId="0" borderId="0" xfId="0" applyNumberFormat="1" applyFont="1" applyBorder="1" applyAlignment="1">
      <alignment horizontal="center"/>
    </xf>
    <xf numFmtId="0" fontId="23" fillId="0" borderId="12" xfId="0" applyNumberFormat="1" applyFont="1" applyBorder="1" applyAlignment="1">
      <alignment horizontal="center"/>
    </xf>
    <xf numFmtId="0" fontId="23" fillId="0" borderId="1" xfId="0" applyNumberFormat="1" applyFont="1" applyBorder="1" applyAlignment="1">
      <alignment horizontal="center"/>
    </xf>
    <xf numFmtId="2" fontId="23" fillId="0" borderId="13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2" fontId="12" fillId="0" borderId="23" xfId="0" applyNumberFormat="1" applyFont="1" applyBorder="1" applyAlignment="1">
      <alignment horizontal="right"/>
    </xf>
    <xf numFmtId="2" fontId="12" fillId="0" borderId="23" xfId="0" applyNumberFormat="1" applyFont="1" applyBorder="1" applyAlignment="1">
      <alignment horizontal="center"/>
    </xf>
    <xf numFmtId="2" fontId="12" fillId="0" borderId="24" xfId="0" applyNumberFormat="1" applyFont="1" applyBorder="1" applyAlignment="1">
      <alignment horizontal="right"/>
    </xf>
    <xf numFmtId="2" fontId="12" fillId="0" borderId="24" xfId="0" applyNumberFormat="1" applyFont="1" applyBorder="1" applyAlignment="1">
      <alignment horizontal="center"/>
    </xf>
    <xf numFmtId="0" fontId="12" fillId="0" borderId="14" xfId="0" applyNumberFormat="1" applyFont="1" applyBorder="1" applyAlignment="1">
      <alignment horizontal="center"/>
    </xf>
    <xf numFmtId="0" fontId="12" fillId="0" borderId="15" xfId="0" applyNumberFormat="1" applyFont="1" applyBorder="1" applyAlignment="1">
      <alignment horizontal="center"/>
    </xf>
    <xf numFmtId="0" fontId="23" fillId="0" borderId="11" xfId="0" applyNumberFormat="1" applyFont="1" applyBorder="1" applyAlignment="1">
      <alignment horizontal="center"/>
    </xf>
    <xf numFmtId="2" fontId="15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20" fillId="0" borderId="26" xfId="0" applyNumberFormat="1" applyFont="1" applyBorder="1" applyAlignment="1">
      <alignment horizontal="center"/>
    </xf>
    <xf numFmtId="2" fontId="20" fillId="0" borderId="13" xfId="0" applyNumberFormat="1" applyFont="1" applyBorder="1" applyAlignment="1">
      <alignment horizontal="center"/>
    </xf>
    <xf numFmtId="0" fontId="25" fillId="0" borderId="0" xfId="0" applyFont="1" applyAlignment="1">
      <alignment vertical="center"/>
    </xf>
    <xf numFmtId="0" fontId="26" fillId="3" borderId="2" xfId="0" applyFont="1" applyFill="1" applyBorder="1" applyAlignment="1">
      <alignment vertical="center"/>
    </xf>
    <xf numFmtId="0" fontId="26" fillId="3" borderId="13" xfId="0" applyFont="1" applyFill="1" applyBorder="1" applyAlignment="1">
      <alignment vertical="center"/>
    </xf>
    <xf numFmtId="0" fontId="26" fillId="3" borderId="3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21" fillId="3" borderId="13" xfId="0" applyFont="1" applyFill="1" applyBorder="1" applyAlignment="1">
      <alignment vertical="center"/>
    </xf>
    <xf numFmtId="0" fontId="21" fillId="3" borderId="3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14" fillId="5" borderId="0" xfId="0" applyFont="1" applyFill="1" applyBorder="1" applyAlignment="1">
      <alignment horizontal="center"/>
    </xf>
    <xf numFmtId="2" fontId="23" fillId="0" borderId="27" xfId="0" applyNumberFormat="1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17" fontId="5" fillId="0" borderId="16" xfId="0" applyNumberFormat="1" applyFont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2" fontId="23" fillId="0" borderId="1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2" fontId="23" fillId="0" borderId="12" xfId="0" applyNumberFormat="1" applyFont="1" applyBorder="1" applyAlignment="1">
      <alignment horizontal="center"/>
    </xf>
    <xf numFmtId="2" fontId="23" fillId="0" borderId="15" xfId="0" applyNumberFormat="1" applyFont="1" applyBorder="1" applyAlignment="1">
      <alignment horizontal="center"/>
    </xf>
    <xf numFmtId="2" fontId="23" fillId="0" borderId="30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14" fontId="23" fillId="0" borderId="26" xfId="0" applyNumberFormat="1" applyFont="1" applyBorder="1" applyAlignment="1">
      <alignment horizontal="center"/>
    </xf>
    <xf numFmtId="14" fontId="23" fillId="0" borderId="13" xfId="0" applyNumberFormat="1" applyFont="1" applyBorder="1" applyAlignment="1">
      <alignment horizontal="center"/>
    </xf>
    <xf numFmtId="14" fontId="23" fillId="0" borderId="0" xfId="0" applyNumberFormat="1" applyFont="1" applyBorder="1" applyAlignment="1">
      <alignment horizontal="center"/>
    </xf>
    <xf numFmtId="0" fontId="23" fillId="0" borderId="24" xfId="0" applyNumberFormat="1" applyFont="1" applyBorder="1" applyAlignment="1">
      <alignment horizontal="center"/>
    </xf>
    <xf numFmtId="0" fontId="23" fillId="0" borderId="27" xfId="0" applyNumberFormat="1" applyFont="1" applyBorder="1" applyAlignment="1">
      <alignment horizontal="center"/>
    </xf>
    <xf numFmtId="0" fontId="23" fillId="0" borderId="31" xfId="0" applyNumberFormat="1" applyFont="1" applyBorder="1" applyAlignment="1">
      <alignment horizontal="right"/>
    </xf>
    <xf numFmtId="2" fontId="23" fillId="0" borderId="12" xfId="0" applyNumberFormat="1" applyFont="1" applyBorder="1" applyAlignment="1">
      <alignment horizontal="right"/>
    </xf>
    <xf numFmtId="2" fontId="23" fillId="0" borderId="11" xfId="0" applyNumberFormat="1" applyFont="1" applyBorder="1" applyAlignment="1">
      <alignment horizontal="right"/>
    </xf>
    <xf numFmtId="2" fontId="23" fillId="0" borderId="30" xfId="0" applyNumberFormat="1" applyFont="1" applyBorder="1" applyAlignment="1">
      <alignment horizontal="right"/>
    </xf>
    <xf numFmtId="2" fontId="23" fillId="0" borderId="16" xfId="0" applyNumberFormat="1" applyFont="1" applyBorder="1" applyAlignment="1">
      <alignment horizontal="right"/>
    </xf>
    <xf numFmtId="2" fontId="23" fillId="0" borderId="1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4" fontId="23" fillId="0" borderId="24" xfId="0" applyNumberFormat="1" applyFont="1" applyBorder="1" applyAlignment="1">
      <alignment horizontal="center"/>
    </xf>
    <xf numFmtId="0" fontId="30" fillId="0" borderId="26" xfId="0" applyNumberFormat="1" applyFont="1" applyBorder="1" applyAlignment="1">
      <alignment horizontal="center"/>
    </xf>
    <xf numFmtId="0" fontId="30" fillId="0" borderId="13" xfId="0" applyNumberFormat="1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14" fontId="30" fillId="0" borderId="26" xfId="0" applyNumberFormat="1" applyFont="1" applyBorder="1" applyAlignment="1">
      <alignment horizontal="center"/>
    </xf>
    <xf numFmtId="14" fontId="30" fillId="0" borderId="13" xfId="0" applyNumberFormat="1" applyFont="1" applyBorder="1" applyAlignment="1">
      <alignment horizontal="center"/>
    </xf>
    <xf numFmtId="14" fontId="23" fillId="0" borderId="27" xfId="0" applyNumberFormat="1" applyFont="1" applyBorder="1" applyAlignment="1">
      <alignment horizontal="center"/>
    </xf>
    <xf numFmtId="2" fontId="23" fillId="0" borderId="9" xfId="0" applyNumberFormat="1" applyFont="1" applyBorder="1" applyAlignment="1">
      <alignment horizontal="center"/>
    </xf>
    <xf numFmtId="2" fontId="23" fillId="0" borderId="32" xfId="0" applyNumberFormat="1" applyFont="1" applyBorder="1" applyAlignment="1">
      <alignment horizontal="center"/>
    </xf>
    <xf numFmtId="2" fontId="30" fillId="0" borderId="27" xfId="0" applyNumberFormat="1" applyFont="1" applyBorder="1" applyAlignment="1">
      <alignment horizontal="center"/>
    </xf>
    <xf numFmtId="14" fontId="23" fillId="0" borderId="30" xfId="0" applyNumberFormat="1" applyFont="1" applyBorder="1" applyAlignment="1">
      <alignment horizontal="right"/>
    </xf>
    <xf numFmtId="14" fontId="23" fillId="0" borderId="30" xfId="0" applyNumberFormat="1" applyFont="1" applyBorder="1" applyAlignment="1">
      <alignment horizontal="center"/>
    </xf>
    <xf numFmtId="2" fontId="31" fillId="0" borderId="27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2" fontId="0" fillId="0" borderId="24" xfId="0" applyNumberFormat="1" applyBorder="1"/>
    <xf numFmtId="2" fontId="0" fillId="0" borderId="32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1" fillId="0" borderId="24" xfId="0" applyNumberFormat="1" applyFont="1" applyBorder="1"/>
    <xf numFmtId="2" fontId="33" fillId="0" borderId="24" xfId="0" applyNumberFormat="1" applyFont="1" applyBorder="1"/>
    <xf numFmtId="2" fontId="5" fillId="0" borderId="24" xfId="0" applyNumberFormat="1" applyFont="1" applyBorder="1"/>
    <xf numFmtId="0" fontId="4" fillId="5" borderId="0" xfId="0" applyFont="1" applyFill="1" applyBorder="1" applyAlignment="1">
      <alignment horizontal="center"/>
    </xf>
    <xf numFmtId="2" fontId="0" fillId="5" borderId="0" xfId="0" applyNumberFormat="1" applyFill="1" applyBorder="1"/>
    <xf numFmtId="0" fontId="29" fillId="5" borderId="0" xfId="0" applyFont="1" applyFill="1" applyAlignment="1">
      <alignment vertical="center"/>
    </xf>
    <xf numFmtId="0" fontId="28" fillId="5" borderId="0" xfId="0" applyFont="1" applyFill="1" applyBorder="1" applyAlignment="1">
      <alignment vertical="center"/>
    </xf>
    <xf numFmtId="2" fontId="0" fillId="0" borderId="14" xfId="0" applyNumberFormat="1" applyBorder="1"/>
    <xf numFmtId="2" fontId="1" fillId="0" borderId="23" xfId="0" applyNumberFormat="1" applyFont="1" applyBorder="1"/>
    <xf numFmtId="0" fontId="3" fillId="0" borderId="1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2" fontId="7" fillId="0" borderId="17" xfId="0" applyNumberFormat="1" applyFont="1" applyBorder="1"/>
    <xf numFmtId="0" fontId="11" fillId="0" borderId="15" xfId="0" applyFont="1" applyBorder="1" applyAlignment="1">
      <alignment horizontal="center"/>
    </xf>
    <xf numFmtId="2" fontId="7" fillId="0" borderId="24" xfId="0" applyNumberFormat="1" applyFont="1" applyBorder="1"/>
    <xf numFmtId="2" fontId="9" fillId="0" borderId="15" xfId="0" applyNumberFormat="1" applyFont="1" applyBorder="1"/>
    <xf numFmtId="0" fontId="11" fillId="0" borderId="22" xfId="0" applyFont="1" applyBorder="1" applyAlignment="1">
      <alignment horizontal="center"/>
    </xf>
    <xf numFmtId="2" fontId="7" fillId="0" borderId="25" xfId="0" applyNumberFormat="1" applyFont="1" applyBorder="1"/>
    <xf numFmtId="2" fontId="9" fillId="0" borderId="22" xfId="0" applyNumberFormat="1" applyFont="1" applyBorder="1"/>
    <xf numFmtId="0" fontId="11" fillId="3" borderId="1" xfId="0" applyFont="1" applyFill="1" applyBorder="1" applyAlignment="1">
      <alignment horizontal="center"/>
    </xf>
    <xf numFmtId="2" fontId="9" fillId="3" borderId="1" xfId="0" applyNumberFormat="1" applyFont="1" applyFill="1" applyBorder="1"/>
    <xf numFmtId="0" fontId="11" fillId="0" borderId="14" xfId="0" applyFont="1" applyBorder="1" applyAlignment="1">
      <alignment horizontal="center"/>
    </xf>
    <xf numFmtId="2" fontId="7" fillId="0" borderId="23" xfId="0" applyNumberFormat="1" applyFont="1" applyBorder="1"/>
    <xf numFmtId="2" fontId="9" fillId="0" borderId="14" xfId="0" applyNumberFormat="1" applyFont="1" applyBorder="1"/>
    <xf numFmtId="0" fontId="11" fillId="0" borderId="16" xfId="0" applyFont="1" applyBorder="1" applyAlignment="1">
      <alignment horizontal="center"/>
    </xf>
    <xf numFmtId="2" fontId="9" fillId="0" borderId="16" xfId="0" applyNumberFormat="1" applyFont="1" applyBorder="1"/>
    <xf numFmtId="2" fontId="7" fillId="0" borderId="32" xfId="0" applyNumberFormat="1" applyFont="1" applyBorder="1"/>
    <xf numFmtId="0" fontId="6" fillId="4" borderId="33" xfId="0" applyFont="1" applyFill="1" applyBorder="1" applyAlignment="1">
      <alignment horizontal="center"/>
    </xf>
    <xf numFmtId="2" fontId="7" fillId="0" borderId="0" xfId="0" applyNumberFormat="1" applyFont="1" applyBorder="1"/>
    <xf numFmtId="2" fontId="9" fillId="0" borderId="34" xfId="0" applyNumberFormat="1" applyFont="1" applyBorder="1"/>
    <xf numFmtId="2" fontId="9" fillId="0" borderId="28" xfId="0" applyNumberFormat="1" applyFont="1" applyBorder="1"/>
    <xf numFmtId="0" fontId="6" fillId="4" borderId="11" xfId="0" applyFont="1" applyFill="1" applyBorder="1" applyAlignment="1">
      <alignment horizontal="center"/>
    </xf>
    <xf numFmtId="2" fontId="6" fillId="0" borderId="0" xfId="0" applyNumberFormat="1" applyFont="1" applyBorder="1"/>
    <xf numFmtId="2" fontId="6" fillId="0" borderId="33" xfId="0" applyNumberFormat="1" applyFont="1" applyBorder="1"/>
    <xf numFmtId="2" fontId="7" fillId="0" borderId="34" xfId="0" applyNumberFormat="1" applyFont="1" applyBorder="1"/>
    <xf numFmtId="2" fontId="7" fillId="0" borderId="28" xfId="0" applyNumberFormat="1" applyFont="1" applyBorder="1"/>
    <xf numFmtId="2" fontId="6" fillId="0" borderId="33" xfId="0" applyNumberFormat="1" applyFont="1" applyBorder="1" applyAlignment="1">
      <alignment horizontal="center"/>
    </xf>
    <xf numFmtId="0" fontId="6" fillId="0" borderId="33" xfId="0" applyNumberFormat="1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2" fontId="9" fillId="0" borderId="4" xfId="0" applyNumberFormat="1" applyFont="1" applyBorder="1"/>
    <xf numFmtId="2" fontId="9" fillId="0" borderId="5" xfId="0" applyNumberFormat="1" applyFont="1" applyBorder="1"/>
    <xf numFmtId="2" fontId="7" fillId="5" borderId="31" xfId="0" applyNumberFormat="1" applyFont="1" applyFill="1" applyBorder="1"/>
    <xf numFmtId="2" fontId="9" fillId="0" borderId="6" xfId="0" applyNumberFormat="1" applyFont="1" applyBorder="1"/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5" borderId="11" xfId="0" applyFont="1" applyFill="1" applyBorder="1" applyAlignment="1">
      <alignment horizontal="center"/>
    </xf>
    <xf numFmtId="2" fontId="7" fillId="3" borderId="26" xfId="0" applyNumberFormat="1" applyFont="1" applyFill="1" applyBorder="1"/>
    <xf numFmtId="2" fontId="36" fillId="3" borderId="11" xfId="0" applyNumberFormat="1" applyFont="1" applyFill="1" applyBorder="1" applyAlignment="1">
      <alignment horizontal="right"/>
    </xf>
    <xf numFmtId="2" fontId="0" fillId="5" borderId="0" xfId="0" applyNumberFormat="1" applyFill="1" applyBorder="1" applyAlignment="1">
      <alignment vertical="center"/>
    </xf>
    <xf numFmtId="0" fontId="19" fillId="4" borderId="33" xfId="0" applyFont="1" applyFill="1" applyBorder="1" applyAlignment="1">
      <alignment horizontal="center"/>
    </xf>
    <xf numFmtId="2" fontId="45" fillId="3" borderId="33" xfId="0" applyNumberFormat="1" applyFont="1" applyFill="1" applyBorder="1"/>
    <xf numFmtId="2" fontId="33" fillId="0" borderId="32" xfId="0" applyNumberFormat="1" applyFont="1" applyBorder="1"/>
    <xf numFmtId="2" fontId="32" fillId="0" borderId="23" xfId="0" applyNumberFormat="1" applyFont="1" applyBorder="1"/>
    <xf numFmtId="0" fontId="0" fillId="3" borderId="1" xfId="0" applyFill="1" applyBorder="1"/>
    <xf numFmtId="0" fontId="0" fillId="0" borderId="2" xfId="0" applyBorder="1"/>
    <xf numFmtId="0" fontId="0" fillId="0" borderId="13" xfId="0" applyBorder="1"/>
    <xf numFmtId="0" fontId="0" fillId="0" borderId="3" xfId="0" applyBorder="1"/>
    <xf numFmtId="2" fontId="46" fillId="5" borderId="0" xfId="0" applyNumberFormat="1" applyFont="1" applyFill="1" applyBorder="1"/>
    <xf numFmtId="0" fontId="46" fillId="0" borderId="0" xfId="0" applyFont="1"/>
    <xf numFmtId="2" fontId="7" fillId="0" borderId="29" xfId="0" applyNumberFormat="1" applyFont="1" applyBorder="1"/>
    <xf numFmtId="2" fontId="7" fillId="0" borderId="17" xfId="0" applyNumberFormat="1" applyFont="1" applyBorder="1" applyAlignment="1">
      <alignment horizontal="center"/>
    </xf>
    <xf numFmtId="2" fontId="7" fillId="0" borderId="26" xfId="0" applyNumberFormat="1" applyFont="1" applyBorder="1"/>
    <xf numFmtId="2" fontId="7" fillId="3" borderId="1" xfId="0" applyNumberFormat="1" applyFont="1" applyFill="1" applyBorder="1"/>
    <xf numFmtId="2" fontId="44" fillId="3" borderId="1" xfId="0" applyNumberFormat="1" applyFont="1" applyFill="1" applyBorder="1" applyAlignment="1">
      <alignment horizontal="center" vertical="center"/>
    </xf>
    <xf numFmtId="2" fontId="0" fillId="5" borderId="15" xfId="0" applyNumberFormat="1" applyFill="1" applyBorder="1"/>
    <xf numFmtId="2" fontId="45" fillId="3" borderId="13" xfId="0" applyNumberFormat="1" applyFont="1" applyFill="1" applyBorder="1"/>
    <xf numFmtId="2" fontId="0" fillId="0" borderId="5" xfId="0" applyNumberFormat="1" applyBorder="1"/>
    <xf numFmtId="0" fontId="0" fillId="3" borderId="2" xfId="0" applyFill="1" applyBorder="1"/>
    <xf numFmtId="0" fontId="0" fillId="3" borderId="13" xfId="0" applyFill="1" applyBorder="1"/>
    <xf numFmtId="0" fontId="0" fillId="3" borderId="3" xfId="0" applyFill="1" applyBorder="1"/>
    <xf numFmtId="0" fontId="40" fillId="3" borderId="1" xfId="0" applyFont="1" applyFill="1" applyBorder="1" applyAlignment="1">
      <alignment horizontal="center"/>
    </xf>
    <xf numFmtId="2" fontId="45" fillId="3" borderId="1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2" fontId="6" fillId="3" borderId="13" xfId="0" applyNumberFormat="1" applyFont="1" applyFill="1" applyBorder="1"/>
    <xf numFmtId="0" fontId="11" fillId="3" borderId="2" xfId="0" applyFont="1" applyFill="1" applyBorder="1" applyAlignment="1">
      <alignment horizontal="center"/>
    </xf>
    <xf numFmtId="0" fontId="17" fillId="0" borderId="36" xfId="0" applyFont="1" applyBorder="1" applyAlignment="1">
      <alignment horizontal="center"/>
    </xf>
    <xf numFmtId="2" fontId="23" fillId="0" borderId="11" xfId="0" applyNumberFormat="1" applyFont="1" applyBorder="1" applyAlignment="1">
      <alignment horizontal="left"/>
    </xf>
    <xf numFmtId="2" fontId="23" fillId="0" borderId="1" xfId="0" applyNumberFormat="1" applyFont="1" applyBorder="1" applyAlignment="1">
      <alignment horizontal="left"/>
    </xf>
    <xf numFmtId="2" fontId="23" fillId="0" borderId="12" xfId="0" applyNumberFormat="1" applyFont="1" applyBorder="1" applyAlignment="1">
      <alignment horizontal="left"/>
    </xf>
    <xf numFmtId="2" fontId="23" fillId="0" borderId="22" xfId="0" applyNumberFormat="1" applyFont="1" applyBorder="1" applyAlignment="1">
      <alignment horizontal="left"/>
    </xf>
    <xf numFmtId="2" fontId="7" fillId="3" borderId="30" xfId="0" applyNumberFormat="1" applyFont="1" applyFill="1" applyBorder="1"/>
    <xf numFmtId="0" fontId="6" fillId="4" borderId="2" xfId="0" applyFont="1" applyFill="1" applyBorder="1" applyAlignment="1">
      <alignment horizontal="center"/>
    </xf>
    <xf numFmtId="2" fontId="45" fillId="3" borderId="3" xfId="0" applyNumberFormat="1" applyFont="1" applyFill="1" applyBorder="1"/>
    <xf numFmtId="2" fontId="32" fillId="0" borderId="4" xfId="0" applyNumberFormat="1" applyFont="1" applyBorder="1"/>
    <xf numFmtId="2" fontId="0" fillId="0" borderId="6" xfId="0" applyNumberFormat="1" applyBorder="1"/>
    <xf numFmtId="0" fontId="6" fillId="0" borderId="11" xfId="0" applyFont="1" applyBorder="1" applyAlignment="1">
      <alignment horizontal="center"/>
    </xf>
    <xf numFmtId="2" fontId="6" fillId="0" borderId="26" xfId="0" applyNumberFormat="1" applyFont="1" applyBorder="1"/>
    <xf numFmtId="0" fontId="6" fillId="0" borderId="1" xfId="0" applyFont="1" applyBorder="1" applyAlignment="1">
      <alignment horizontal="center"/>
    </xf>
    <xf numFmtId="2" fontId="6" fillId="0" borderId="3" xfId="0" applyNumberFormat="1" applyFont="1" applyBorder="1"/>
    <xf numFmtId="2" fontId="6" fillId="0" borderId="1" xfId="0" applyNumberFormat="1" applyFont="1" applyBorder="1"/>
    <xf numFmtId="0" fontId="6" fillId="0" borderId="12" xfId="0" applyFont="1" applyBorder="1" applyAlignment="1">
      <alignment horizontal="center"/>
    </xf>
    <xf numFmtId="2" fontId="6" fillId="0" borderId="34" xfId="0" applyNumberFormat="1" applyFont="1" applyBorder="1"/>
    <xf numFmtId="0" fontId="6" fillId="0" borderId="17" xfId="0" applyNumberFormat="1" applyFont="1" applyBorder="1" applyAlignment="1">
      <alignment horizontal="center"/>
    </xf>
    <xf numFmtId="14" fontId="6" fillId="0" borderId="17" xfId="0" applyNumberFormat="1" applyFont="1" applyBorder="1" applyAlignment="1">
      <alignment horizontal="center"/>
    </xf>
    <xf numFmtId="2" fontId="44" fillId="3" borderId="1" xfId="0" applyNumberFormat="1" applyFont="1" applyFill="1" applyBorder="1" applyAlignment="1">
      <alignment horizontal="right" vertical="center"/>
    </xf>
    <xf numFmtId="0" fontId="6" fillId="4" borderId="26" xfId="0" applyFont="1" applyFill="1" applyBorder="1" applyAlignment="1">
      <alignment horizontal="left"/>
    </xf>
    <xf numFmtId="2" fontId="6" fillId="4" borderId="33" xfId="0" applyNumberFormat="1" applyFont="1" applyFill="1" applyBorder="1" applyAlignment="1">
      <alignment horizontal="right"/>
    </xf>
    <xf numFmtId="14" fontId="6" fillId="4" borderId="11" xfId="0" applyNumberFormat="1" applyFont="1" applyFill="1" applyBorder="1" applyAlignment="1">
      <alignment horizontal="center"/>
    </xf>
    <xf numFmtId="2" fontId="6" fillId="0" borderId="2" xfId="0" applyNumberFormat="1" applyFont="1" applyBorder="1"/>
    <xf numFmtId="0" fontId="6" fillId="5" borderId="26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/>
    </xf>
    <xf numFmtId="2" fontId="6" fillId="5" borderId="0" xfId="0" applyNumberFormat="1" applyFont="1" applyFill="1" applyBorder="1" applyAlignment="1">
      <alignment horizontal="right"/>
    </xf>
    <xf numFmtId="2" fontId="0" fillId="5" borderId="16" xfId="0" applyNumberFormat="1" applyFill="1" applyBorder="1"/>
    <xf numFmtId="2" fontId="0" fillId="5" borderId="14" xfId="0" applyNumberFormat="1" applyFill="1" applyBorder="1"/>
    <xf numFmtId="0" fontId="6" fillId="5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2" fontId="9" fillId="5" borderId="1" xfId="0" applyNumberFormat="1" applyFont="1" applyFill="1" applyBorder="1"/>
    <xf numFmtId="2" fontId="9" fillId="5" borderId="0" xfId="0" applyNumberFormat="1" applyFont="1" applyFill="1" applyBorder="1"/>
    <xf numFmtId="0" fontId="9" fillId="0" borderId="0" xfId="0" applyFont="1"/>
    <xf numFmtId="2" fontId="9" fillId="5" borderId="12" xfId="0" applyNumberFormat="1" applyFont="1" applyFill="1" applyBorder="1"/>
    <xf numFmtId="0" fontId="6" fillId="5" borderId="12" xfId="0" applyNumberFormat="1" applyFont="1" applyFill="1" applyBorder="1" applyAlignment="1">
      <alignment horizontal="center"/>
    </xf>
    <xf numFmtId="2" fontId="6" fillId="5" borderId="1" xfId="0" applyNumberFormat="1" applyFont="1" applyFill="1" applyBorder="1"/>
    <xf numFmtId="2" fontId="6" fillId="5" borderId="12" xfId="0" applyNumberFormat="1" applyFont="1" applyFill="1" applyBorder="1"/>
    <xf numFmtId="2" fontId="6" fillId="5" borderId="11" xfId="0" applyNumberFormat="1" applyFont="1" applyFill="1" applyBorder="1" applyAlignment="1">
      <alignment horizontal="right"/>
    </xf>
    <xf numFmtId="2" fontId="6" fillId="5" borderId="1" xfId="0" applyNumberFormat="1" applyFont="1" applyFill="1" applyBorder="1" applyAlignment="1">
      <alignment horizontal="right"/>
    </xf>
    <xf numFmtId="2" fontId="6" fillId="5" borderId="12" xfId="0" applyNumberFormat="1" applyFont="1" applyFill="1" applyBorder="1" applyAlignment="1">
      <alignment horizontal="right"/>
    </xf>
    <xf numFmtId="2" fontId="31" fillId="0" borderId="1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2" fontId="6" fillId="0" borderId="28" xfId="0" applyNumberFormat="1" applyFont="1" applyBorder="1"/>
    <xf numFmtId="0" fontId="6" fillId="0" borderId="30" xfId="0" applyFont="1" applyBorder="1" applyAlignment="1">
      <alignment horizontal="center"/>
    </xf>
    <xf numFmtId="2" fontId="6" fillId="0" borderId="27" xfId="0" applyNumberFormat="1" applyFont="1" applyBorder="1"/>
    <xf numFmtId="0" fontId="6" fillId="0" borderId="14" xfId="0" applyNumberFormat="1" applyFont="1" applyBorder="1" applyAlignment="1">
      <alignment horizontal="center"/>
    </xf>
    <xf numFmtId="0" fontId="6" fillId="5" borderId="8" xfId="0" applyNumberFormat="1" applyFont="1" applyFill="1" applyBorder="1" applyAlignment="1">
      <alignment horizontal="center"/>
    </xf>
    <xf numFmtId="0" fontId="6" fillId="0" borderId="10" xfId="0" applyNumberFormat="1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2" fontId="6" fillId="0" borderId="10" xfId="0" applyNumberFormat="1" applyFont="1" applyBorder="1"/>
    <xf numFmtId="2" fontId="6" fillId="5" borderId="30" xfId="0" applyNumberFormat="1" applyFont="1" applyFill="1" applyBorder="1" applyAlignment="1">
      <alignment horizontal="right"/>
    </xf>
    <xf numFmtId="2" fontId="6" fillId="5" borderId="8" xfId="0" applyNumberFormat="1" applyFont="1" applyFill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1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2" fontId="6" fillId="0" borderId="8" xfId="0" applyNumberFormat="1" applyFont="1" applyBorder="1"/>
    <xf numFmtId="0" fontId="6" fillId="0" borderId="8" xfId="0" applyNumberFormat="1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2" fontId="6" fillId="0" borderId="9" xfId="0" applyNumberFormat="1" applyFont="1" applyBorder="1"/>
    <xf numFmtId="0" fontId="6" fillId="0" borderId="9" xfId="0" applyNumberFormat="1" applyFont="1" applyBorder="1" applyAlignment="1">
      <alignment horizontal="center"/>
    </xf>
    <xf numFmtId="2" fontId="6" fillId="5" borderId="7" xfId="0" applyNumberFormat="1" applyFont="1" applyFill="1" applyBorder="1"/>
    <xf numFmtId="2" fontId="6" fillId="5" borderId="28" xfId="0" applyNumberFormat="1" applyFont="1" applyFill="1" applyBorder="1"/>
    <xf numFmtId="2" fontId="6" fillId="0" borderId="17" xfId="0" applyNumberFormat="1" applyFont="1" applyBorder="1" applyAlignment="1">
      <alignment horizontal="center"/>
    </xf>
    <xf numFmtId="2" fontId="6" fillId="5" borderId="7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29" xfId="0" applyFont="1" applyBorder="1" applyAlignment="1">
      <alignment horizontal="left"/>
    </xf>
    <xf numFmtId="2" fontId="9" fillId="0" borderId="29" xfId="0" applyNumberFormat="1" applyFont="1" applyBorder="1"/>
    <xf numFmtId="2" fontId="9" fillId="0" borderId="17" xfId="0" applyNumberFormat="1" applyFont="1" applyBorder="1"/>
    <xf numFmtId="2" fontId="9" fillId="0" borderId="24" xfId="0" applyNumberFormat="1" applyFont="1" applyBorder="1"/>
    <xf numFmtId="2" fontId="7" fillId="5" borderId="24" xfId="0" applyNumberFormat="1" applyFont="1" applyFill="1" applyBorder="1"/>
    <xf numFmtId="2" fontId="7" fillId="0" borderId="21" xfId="0" applyNumberFormat="1" applyFont="1" applyBorder="1"/>
    <xf numFmtId="2" fontId="7" fillId="0" borderId="11" xfId="0" applyNumberFormat="1" applyFont="1" applyBorder="1"/>
    <xf numFmtId="2" fontId="9" fillId="0" borderId="31" xfId="0" applyNumberFormat="1" applyFont="1" applyBorder="1"/>
    <xf numFmtId="2" fontId="9" fillId="0" borderId="25" xfId="0" applyNumberFormat="1" applyFont="1" applyBorder="1"/>
    <xf numFmtId="0" fontId="9" fillId="3" borderId="1" xfId="0" applyFont="1" applyFill="1" applyBorder="1"/>
    <xf numFmtId="0" fontId="9" fillId="3" borderId="13" xfId="0" applyFont="1" applyFill="1" applyBorder="1"/>
    <xf numFmtId="0" fontId="44" fillId="3" borderId="1" xfId="0" applyFont="1" applyFill="1" applyBorder="1" applyAlignment="1">
      <alignment horizontal="center"/>
    </xf>
    <xf numFmtId="2" fontId="36" fillId="3" borderId="13" xfId="0" applyNumberFormat="1" applyFont="1" applyFill="1" applyBorder="1"/>
    <xf numFmtId="0" fontId="9" fillId="3" borderId="3" xfId="0" applyFont="1" applyFill="1" applyBorder="1"/>
    <xf numFmtId="0" fontId="7" fillId="4" borderId="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2" fontId="7" fillId="0" borderId="19" xfId="0" applyNumberFormat="1" applyFont="1" applyBorder="1"/>
    <xf numFmtId="0" fontId="9" fillId="3" borderId="2" xfId="0" applyFont="1" applyFill="1" applyBorder="1"/>
    <xf numFmtId="0" fontId="48" fillId="3" borderId="1" xfId="0" applyFont="1" applyFill="1" applyBorder="1" applyAlignment="1">
      <alignment horizontal="center"/>
    </xf>
    <xf numFmtId="0" fontId="9" fillId="0" borderId="10" xfId="0" applyFont="1" applyBorder="1"/>
    <xf numFmtId="0" fontId="9" fillId="0" borderId="30" xfId="0" applyFont="1" applyBorder="1"/>
    <xf numFmtId="0" fontId="9" fillId="0" borderId="27" xfId="0" applyFont="1" applyBorder="1"/>
    <xf numFmtId="0" fontId="9" fillId="0" borderId="28" xfId="0" applyFont="1" applyBorder="1"/>
    <xf numFmtId="0" fontId="19" fillId="4" borderId="3" xfId="0" applyFont="1" applyFill="1" applyBorder="1" applyAlignment="1">
      <alignment horizontal="center"/>
    </xf>
    <xf numFmtId="2" fontId="9" fillId="0" borderId="15" xfId="0" applyNumberFormat="1" applyFont="1" applyBorder="1" applyAlignment="1">
      <alignment horizontal="right"/>
    </xf>
    <xf numFmtId="0" fontId="36" fillId="3" borderId="1" xfId="0" applyFont="1" applyFill="1" applyBorder="1" applyAlignment="1">
      <alignment horizontal="center"/>
    </xf>
    <xf numFmtId="0" fontId="9" fillId="0" borderId="35" xfId="0" applyFont="1" applyBorder="1"/>
    <xf numFmtId="0" fontId="9" fillId="0" borderId="14" xfId="0" applyFont="1" applyBorder="1"/>
    <xf numFmtId="0" fontId="9" fillId="0" borderId="23" xfId="0" applyFont="1" applyBorder="1"/>
    <xf numFmtId="2" fontId="49" fillId="3" borderId="3" xfId="0" applyNumberFormat="1" applyFont="1" applyFill="1" applyBorder="1"/>
    <xf numFmtId="0" fontId="9" fillId="0" borderId="4" xfId="0" applyFont="1" applyBorder="1"/>
    <xf numFmtId="0" fontId="9" fillId="0" borderId="20" xfId="0" applyFont="1" applyBorder="1"/>
    <xf numFmtId="0" fontId="9" fillId="0" borderId="16" xfId="0" applyFont="1" applyBorder="1"/>
    <xf numFmtId="0" fontId="9" fillId="0" borderId="32" xfId="0" applyFont="1" applyBorder="1"/>
    <xf numFmtId="0" fontId="9" fillId="0" borderId="6" xfId="0" applyFont="1" applyBorder="1"/>
    <xf numFmtId="2" fontId="9" fillId="0" borderId="23" xfId="0" applyNumberFormat="1" applyFont="1" applyBorder="1"/>
    <xf numFmtId="2" fontId="9" fillId="3" borderId="13" xfId="0" applyNumberFormat="1" applyFont="1" applyFill="1" applyBorder="1"/>
    <xf numFmtId="2" fontId="44" fillId="3" borderId="13" xfId="0" applyNumberFormat="1" applyFont="1" applyFill="1" applyBorder="1" applyAlignment="1">
      <alignment horizontal="center"/>
    </xf>
    <xf numFmtId="2" fontId="51" fillId="3" borderId="1" xfId="0" applyNumberFormat="1" applyFont="1" applyFill="1" applyBorder="1"/>
    <xf numFmtId="2" fontId="9" fillId="0" borderId="27" xfId="0" applyNumberFormat="1" applyFont="1" applyBorder="1"/>
    <xf numFmtId="2" fontId="9" fillId="0" borderId="30" xfId="0" applyNumberFormat="1" applyFont="1" applyBorder="1"/>
    <xf numFmtId="2" fontId="7" fillId="5" borderId="1" xfId="0" applyNumberFormat="1" applyFont="1" applyFill="1" applyBorder="1"/>
    <xf numFmtId="2" fontId="7" fillId="3" borderId="13" xfId="0" applyNumberFormat="1" applyFont="1" applyFill="1" applyBorder="1"/>
    <xf numFmtId="2" fontId="49" fillId="3" borderId="1" xfId="0" applyNumberFormat="1" applyFont="1" applyFill="1" applyBorder="1"/>
    <xf numFmtId="2" fontId="9" fillId="0" borderId="32" xfId="0" applyNumberFormat="1" applyFont="1" applyBorder="1"/>
    <xf numFmtId="0" fontId="11" fillId="5" borderId="15" xfId="0" applyFont="1" applyFill="1" applyBorder="1" applyAlignment="1">
      <alignment horizontal="center"/>
    </xf>
    <xf numFmtId="2" fontId="9" fillId="5" borderId="15" xfId="0" applyNumberFormat="1" applyFont="1" applyFill="1" applyBorder="1"/>
    <xf numFmtId="2" fontId="9" fillId="5" borderId="24" xfId="0" applyNumberFormat="1" applyFont="1" applyFill="1" applyBorder="1"/>
    <xf numFmtId="2" fontId="45" fillId="3" borderId="13" xfId="0" applyNumberFormat="1" applyFont="1" applyFill="1" applyBorder="1" applyAlignment="1">
      <alignment horizontal="center"/>
    </xf>
    <xf numFmtId="2" fontId="49" fillId="3" borderId="1" xfId="0" applyNumberFormat="1" applyFont="1" applyFill="1" applyBorder="1" applyAlignment="1">
      <alignment horizontal="center"/>
    </xf>
    <xf numFmtId="0" fontId="52" fillId="5" borderId="0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/>
    </xf>
    <xf numFmtId="2" fontId="45" fillId="3" borderId="1" xfId="0" applyNumberFormat="1" applyFont="1" applyFill="1" applyBorder="1"/>
    <xf numFmtId="2" fontId="7" fillId="0" borderId="27" xfId="0" applyNumberFormat="1" applyFont="1" applyBorder="1"/>
    <xf numFmtId="0" fontId="44" fillId="4" borderId="1" xfId="0" applyFont="1" applyFill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2" fontId="53" fillId="0" borderId="17" xfId="0" applyNumberFormat="1" applyFont="1" applyBorder="1"/>
    <xf numFmtId="2" fontId="53" fillId="0" borderId="15" xfId="0" applyNumberFormat="1" applyFont="1" applyBorder="1"/>
    <xf numFmtId="2" fontId="53" fillId="0" borderId="22" xfId="0" applyNumberFormat="1" applyFont="1" applyBorder="1"/>
    <xf numFmtId="0" fontId="7" fillId="3" borderId="1" xfId="0" applyFont="1" applyFill="1" applyBorder="1" applyAlignment="1">
      <alignment horizontal="right"/>
    </xf>
    <xf numFmtId="2" fontId="36" fillId="3" borderId="1" xfId="0" applyNumberFormat="1" applyFont="1" applyFill="1" applyBorder="1"/>
    <xf numFmtId="2" fontId="44" fillId="3" borderId="2" xfId="0" applyNumberFormat="1" applyFont="1" applyFill="1" applyBorder="1" applyAlignment="1">
      <alignment horizontal="center" vertical="center"/>
    </xf>
    <xf numFmtId="2" fontId="51" fillId="3" borderId="1" xfId="0" applyNumberFormat="1" applyFont="1" applyFill="1" applyBorder="1" applyAlignment="1">
      <alignment vertical="center"/>
    </xf>
    <xf numFmtId="0" fontId="9" fillId="5" borderId="0" xfId="0" applyFont="1" applyFill="1" applyBorder="1" applyAlignment="1">
      <alignment horizontal="center"/>
    </xf>
    <xf numFmtId="0" fontId="20" fillId="3" borderId="27" xfId="0" applyFont="1" applyFill="1" applyBorder="1" applyAlignment="1">
      <alignment horizontal="center"/>
    </xf>
    <xf numFmtId="2" fontId="35" fillId="3" borderId="2" xfId="0" applyNumberFormat="1" applyFont="1" applyFill="1" applyBorder="1" applyAlignment="1">
      <alignment horizontal="center"/>
    </xf>
    <xf numFmtId="2" fontId="35" fillId="3" borderId="3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right"/>
    </xf>
    <xf numFmtId="0" fontId="18" fillId="2" borderId="3" xfId="0" applyFont="1" applyFill="1" applyBorder="1" applyAlignment="1">
      <alignment horizontal="right"/>
    </xf>
    <xf numFmtId="0" fontId="15" fillId="4" borderId="13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41" fillId="3" borderId="13" xfId="0" applyFont="1" applyFill="1" applyBorder="1" applyAlignment="1">
      <alignment horizontal="right" vertical="center"/>
    </xf>
    <xf numFmtId="0" fontId="41" fillId="3" borderId="3" xfId="0" applyFont="1" applyFill="1" applyBorder="1" applyAlignment="1">
      <alignment horizontal="right" vertical="center"/>
    </xf>
    <xf numFmtId="0" fontId="15" fillId="4" borderId="0" xfId="0" applyFont="1" applyFill="1" applyBorder="1" applyAlignment="1">
      <alignment horizontal="center"/>
    </xf>
    <xf numFmtId="2" fontId="34" fillId="3" borderId="2" xfId="0" applyNumberFormat="1" applyFont="1" applyFill="1" applyBorder="1" applyAlignment="1">
      <alignment horizontal="center"/>
    </xf>
    <xf numFmtId="2" fontId="34" fillId="3" borderId="3" xfId="0" applyNumberFormat="1" applyFont="1" applyFill="1" applyBorder="1" applyAlignment="1">
      <alignment horizontal="center"/>
    </xf>
    <xf numFmtId="0" fontId="24" fillId="2" borderId="2" xfId="0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right" vertical="center"/>
    </xf>
    <xf numFmtId="2" fontId="34" fillId="3" borderId="2" xfId="0" applyNumberFormat="1" applyFont="1" applyFill="1" applyBorder="1" applyAlignment="1">
      <alignment horizontal="center" vertical="center"/>
    </xf>
    <xf numFmtId="2" fontId="34" fillId="3" borderId="3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right" vertical="center"/>
    </xf>
    <xf numFmtId="0" fontId="45" fillId="2" borderId="3" xfId="0" applyFont="1" applyFill="1" applyBorder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right" vertical="center"/>
    </xf>
    <xf numFmtId="2" fontId="35" fillId="3" borderId="10" xfId="0" applyNumberFormat="1" applyFont="1" applyFill="1" applyBorder="1" applyAlignment="1">
      <alignment horizontal="center" vertical="center"/>
    </xf>
    <xf numFmtId="2" fontId="35" fillId="3" borderId="28" xfId="0" applyNumberFormat="1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37" fillId="3" borderId="13" xfId="0" applyFont="1" applyFill="1" applyBorder="1" applyAlignment="1">
      <alignment horizontal="center" vertical="center"/>
    </xf>
    <xf numFmtId="0" fontId="37" fillId="3" borderId="3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50" fillId="3" borderId="13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0" fontId="50" fillId="3" borderId="10" xfId="0" applyFont="1" applyFill="1" applyBorder="1" applyAlignment="1">
      <alignment horizontal="center" vertical="center"/>
    </xf>
    <xf numFmtId="0" fontId="50" fillId="3" borderId="27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42" fillId="0" borderId="8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43" fillId="0" borderId="10" xfId="0" applyFont="1" applyBorder="1" applyAlignment="1">
      <alignment horizontal="left" vertical="center"/>
    </xf>
    <xf numFmtId="0" fontId="43" fillId="0" borderId="27" xfId="0" applyFont="1" applyBorder="1" applyAlignment="1">
      <alignment horizontal="left" vertical="center"/>
    </xf>
    <xf numFmtId="0" fontId="43" fillId="0" borderId="28" xfId="0" applyFont="1" applyBorder="1" applyAlignment="1">
      <alignment horizontal="left" vertical="center"/>
    </xf>
    <xf numFmtId="2" fontId="35" fillId="3" borderId="2" xfId="0" applyNumberFormat="1" applyFont="1" applyFill="1" applyBorder="1" applyAlignment="1">
      <alignment horizontal="center" vertical="center"/>
    </xf>
    <xf numFmtId="2" fontId="35" fillId="3" borderId="3" xfId="0" applyNumberFormat="1" applyFont="1" applyFill="1" applyBorder="1" applyAlignment="1">
      <alignment horizontal="center" vertical="center"/>
    </xf>
    <xf numFmtId="2" fontId="35" fillId="3" borderId="2" xfId="0" applyNumberFormat="1" applyFont="1" applyFill="1" applyBorder="1" applyAlignment="1">
      <alignment horizontal="right" vertical="center"/>
    </xf>
    <xf numFmtId="2" fontId="35" fillId="3" borderId="3" xfId="0" applyNumberFormat="1" applyFont="1" applyFill="1" applyBorder="1" applyAlignment="1">
      <alignment horizontal="right" vertical="center"/>
    </xf>
    <xf numFmtId="0" fontId="47" fillId="3" borderId="2" xfId="0" applyFont="1" applyFill="1" applyBorder="1" applyAlignment="1">
      <alignment horizontal="center" vertical="center"/>
    </xf>
    <xf numFmtId="0" fontId="47" fillId="3" borderId="13" xfId="0" applyFont="1" applyFill="1" applyBorder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opLeftCell="A13" workbookViewId="0">
      <selection activeCell="K24" sqref="K24"/>
    </sheetView>
  </sheetViews>
  <sheetFormatPr baseColWidth="10" defaultRowHeight="15"/>
  <cols>
    <col min="1" max="1" width="6.140625" customWidth="1"/>
    <col min="2" max="2" width="21.28515625" customWidth="1"/>
    <col min="3" max="3" width="17" customWidth="1"/>
    <col min="4" max="4" width="19.42578125" customWidth="1"/>
    <col min="5" max="5" width="28.5703125" customWidth="1"/>
    <col min="6" max="6" width="12.7109375" customWidth="1"/>
    <col min="7" max="7" width="17.28515625" customWidth="1"/>
  </cols>
  <sheetData>
    <row r="1" spans="1:11" ht="28.5" customHeight="1" thickBot="1">
      <c r="A1" s="409" t="s">
        <v>32</v>
      </c>
      <c r="B1" s="409"/>
      <c r="C1" s="409"/>
      <c r="D1" s="409"/>
      <c r="E1" s="409"/>
      <c r="F1" s="409"/>
      <c r="G1" s="409"/>
    </row>
    <row r="2" spans="1:11" s="1" customFormat="1" ht="19.5" customHeight="1" thickBot="1">
      <c r="A2" s="8" t="s">
        <v>0</v>
      </c>
      <c r="B2" s="9" t="s">
        <v>13</v>
      </c>
      <c r="C2" s="8" t="s">
        <v>2</v>
      </c>
      <c r="D2" s="8" t="s">
        <v>13</v>
      </c>
      <c r="E2" s="9" t="s">
        <v>14</v>
      </c>
      <c r="F2" s="10" t="s">
        <v>15</v>
      </c>
      <c r="G2" s="11" t="s">
        <v>16</v>
      </c>
    </row>
    <row r="3" spans="1:11" ht="17.25">
      <c r="A3" s="12">
        <v>1</v>
      </c>
      <c r="B3" s="13">
        <v>430000</v>
      </c>
      <c r="C3" s="14">
        <v>43108</v>
      </c>
      <c r="D3" s="15">
        <v>422400</v>
      </c>
      <c r="E3" s="16" t="s">
        <v>3</v>
      </c>
      <c r="F3" s="17" t="s">
        <v>20</v>
      </c>
      <c r="G3" s="12" t="s">
        <v>17</v>
      </c>
    </row>
    <row r="4" spans="1:11" ht="17.25">
      <c r="A4" s="18">
        <v>2</v>
      </c>
      <c r="B4" s="19">
        <v>4000000</v>
      </c>
      <c r="C4" s="20">
        <v>43121</v>
      </c>
      <c r="D4" s="21">
        <v>584250</v>
      </c>
      <c r="E4" s="22" t="s">
        <v>21</v>
      </c>
      <c r="F4" s="23" t="s">
        <v>20</v>
      </c>
      <c r="G4" s="18" t="s">
        <v>17</v>
      </c>
    </row>
    <row r="5" spans="1:11" ht="17.25">
      <c r="A5" s="18">
        <v>3</v>
      </c>
      <c r="B5" s="19"/>
      <c r="C5" s="20"/>
      <c r="D5" s="21">
        <v>422400</v>
      </c>
      <c r="E5" s="16" t="s">
        <v>3</v>
      </c>
      <c r="F5" s="23"/>
      <c r="G5" s="18"/>
    </row>
    <row r="6" spans="1:11" ht="17.25">
      <c r="A6" s="18">
        <v>4</v>
      </c>
      <c r="B6" s="19">
        <v>1400000</v>
      </c>
      <c r="C6" s="20">
        <v>43128</v>
      </c>
      <c r="D6" s="21">
        <v>2730000</v>
      </c>
      <c r="E6" s="22" t="s">
        <v>5</v>
      </c>
      <c r="F6" s="23" t="s">
        <v>20</v>
      </c>
      <c r="G6" s="18" t="s">
        <v>17</v>
      </c>
    </row>
    <row r="7" spans="1:11" ht="17.25">
      <c r="A7" s="18">
        <v>5</v>
      </c>
      <c r="B7" s="19"/>
      <c r="C7" s="18"/>
      <c r="D7" s="21">
        <v>422400</v>
      </c>
      <c r="E7" s="16" t="s">
        <v>3</v>
      </c>
      <c r="F7" s="23"/>
      <c r="G7" s="18"/>
    </row>
    <row r="8" spans="1:11" ht="17.25">
      <c r="A8" s="18">
        <v>6</v>
      </c>
      <c r="B8" s="19">
        <v>8000000</v>
      </c>
      <c r="C8" s="20">
        <v>43135</v>
      </c>
      <c r="D8" s="21">
        <v>1417050</v>
      </c>
      <c r="E8" s="22" t="s">
        <v>4</v>
      </c>
      <c r="F8" s="6" t="s">
        <v>12</v>
      </c>
      <c r="G8" s="7" t="s">
        <v>19</v>
      </c>
    </row>
    <row r="9" spans="1:11" ht="17.25">
      <c r="A9" s="18">
        <v>7</v>
      </c>
      <c r="B9" s="19"/>
      <c r="C9" s="18"/>
      <c r="D9" s="21">
        <v>422400</v>
      </c>
      <c r="E9" s="16" t="s">
        <v>3</v>
      </c>
      <c r="F9" s="23"/>
      <c r="G9" s="18"/>
    </row>
    <row r="10" spans="1:11" ht="18" thickBot="1">
      <c r="A10" s="24">
        <v>8</v>
      </c>
      <c r="B10" s="25">
        <v>3500000</v>
      </c>
      <c r="C10" s="26">
        <v>43157</v>
      </c>
      <c r="D10" s="27">
        <v>2500000</v>
      </c>
      <c r="E10" s="28" t="s">
        <v>6</v>
      </c>
      <c r="F10" s="54" t="s">
        <v>12</v>
      </c>
      <c r="G10" s="55" t="s">
        <v>18</v>
      </c>
    </row>
    <row r="11" spans="1:11" ht="19.5" thickBot="1">
      <c r="A11" s="30">
        <v>9</v>
      </c>
      <c r="B11" s="31"/>
      <c r="C11" s="32"/>
      <c r="D11" s="56">
        <v>3800600</v>
      </c>
      <c r="E11" s="57" t="s">
        <v>23</v>
      </c>
      <c r="F11" s="33"/>
      <c r="G11" s="30"/>
    </row>
    <row r="12" spans="1:11" ht="17.25">
      <c r="A12" s="12">
        <v>10</v>
      </c>
      <c r="B12" s="13">
        <v>7000000</v>
      </c>
      <c r="C12" s="14">
        <v>43172</v>
      </c>
      <c r="D12" s="15">
        <v>422400</v>
      </c>
      <c r="E12" s="16" t="s">
        <v>3</v>
      </c>
      <c r="F12" s="6" t="s">
        <v>12</v>
      </c>
      <c r="G12" s="7" t="s">
        <v>19</v>
      </c>
    </row>
    <row r="13" spans="1:11" ht="18" thickBot="1">
      <c r="A13" s="18">
        <v>11</v>
      </c>
      <c r="B13" s="19"/>
      <c r="C13" s="20"/>
      <c r="D13" s="21">
        <v>422400</v>
      </c>
      <c r="E13" s="16" t="s">
        <v>3</v>
      </c>
      <c r="F13" s="23"/>
      <c r="G13" s="18"/>
      <c r="J13" s="5"/>
    </row>
    <row r="14" spans="1:11" ht="18" thickBot="1">
      <c r="A14" s="18">
        <v>12</v>
      </c>
      <c r="B14" s="19">
        <v>1000000</v>
      </c>
      <c r="C14" s="20">
        <v>43278</v>
      </c>
      <c r="D14" s="21">
        <v>504000</v>
      </c>
      <c r="E14" s="22" t="s">
        <v>21</v>
      </c>
      <c r="F14" s="23" t="s">
        <v>20</v>
      </c>
      <c r="G14" s="18" t="s">
        <v>17</v>
      </c>
      <c r="K14" s="2"/>
    </row>
    <row r="15" spans="1:11" ht="17.25">
      <c r="A15" s="18">
        <v>13</v>
      </c>
      <c r="B15" s="19">
        <v>3870000</v>
      </c>
      <c r="C15" s="20">
        <v>43247</v>
      </c>
      <c r="D15" s="21">
        <v>190000</v>
      </c>
      <c r="E15" s="22" t="s">
        <v>7</v>
      </c>
      <c r="F15" s="6" t="s">
        <v>12</v>
      </c>
      <c r="G15" s="7" t="s">
        <v>19</v>
      </c>
    </row>
    <row r="16" spans="1:11" ht="17.25">
      <c r="A16" s="18">
        <v>14</v>
      </c>
      <c r="B16" s="19">
        <v>1470000</v>
      </c>
      <c r="C16" s="20">
        <v>42838</v>
      </c>
      <c r="D16" s="21">
        <v>422400</v>
      </c>
      <c r="E16" s="16" t="s">
        <v>3</v>
      </c>
      <c r="F16" s="23" t="s">
        <v>20</v>
      </c>
      <c r="G16" s="18" t="s">
        <v>17</v>
      </c>
    </row>
    <row r="17" spans="1:7" ht="17.25">
      <c r="A17" s="18">
        <v>15</v>
      </c>
      <c r="B17" s="19">
        <v>1692000</v>
      </c>
      <c r="C17" s="20">
        <v>42847</v>
      </c>
      <c r="D17" s="21">
        <v>600000</v>
      </c>
      <c r="E17" s="22" t="s">
        <v>22</v>
      </c>
      <c r="F17" s="23" t="s">
        <v>20</v>
      </c>
      <c r="G17" s="18" t="s">
        <v>17</v>
      </c>
    </row>
    <row r="18" spans="1:7" ht="17.25">
      <c r="A18" s="18">
        <v>16</v>
      </c>
      <c r="B18" s="19"/>
      <c r="C18" s="20"/>
      <c r="D18" s="21">
        <v>422400</v>
      </c>
      <c r="E18" s="16" t="s">
        <v>3</v>
      </c>
      <c r="F18" s="23"/>
      <c r="G18" s="18"/>
    </row>
    <row r="19" spans="1:7" ht="18.75">
      <c r="A19" s="18">
        <v>17</v>
      </c>
      <c r="B19" s="19"/>
      <c r="C19" s="20"/>
      <c r="D19" s="58">
        <v>6070000</v>
      </c>
      <c r="E19" s="59" t="s">
        <v>24</v>
      </c>
      <c r="F19" s="23"/>
      <c r="G19" s="18"/>
    </row>
    <row r="20" spans="1:7" ht="17.25">
      <c r="A20" s="18">
        <v>18</v>
      </c>
      <c r="B20" s="19"/>
      <c r="C20" s="18"/>
      <c r="D20" s="21">
        <v>1459439.22</v>
      </c>
      <c r="E20" s="22" t="s">
        <v>9</v>
      </c>
      <c r="F20" s="23"/>
      <c r="G20" s="18"/>
    </row>
    <row r="21" spans="1:7" ht="17.25">
      <c r="A21" s="18">
        <v>19</v>
      </c>
      <c r="B21" s="19"/>
      <c r="C21" s="18"/>
      <c r="D21" s="21">
        <v>532838</v>
      </c>
      <c r="E21" s="22" t="s">
        <v>8</v>
      </c>
      <c r="F21" s="23"/>
      <c r="G21" s="18"/>
    </row>
    <row r="22" spans="1:7" ht="17.25">
      <c r="A22" s="18">
        <v>20</v>
      </c>
      <c r="B22" s="19"/>
      <c r="C22" s="18"/>
      <c r="D22" s="21">
        <v>422400</v>
      </c>
      <c r="E22" s="16" t="s">
        <v>3</v>
      </c>
      <c r="F22" s="23"/>
      <c r="G22" s="18"/>
    </row>
    <row r="23" spans="1:7" ht="18.75">
      <c r="A23" s="18">
        <v>21</v>
      </c>
      <c r="B23" s="19"/>
      <c r="C23" s="18"/>
      <c r="D23" s="58">
        <v>2000000</v>
      </c>
      <c r="E23" s="59" t="s">
        <v>25</v>
      </c>
      <c r="F23" s="23"/>
      <c r="G23" s="18"/>
    </row>
    <row r="24" spans="1:7" ht="18" thickBot="1">
      <c r="A24" s="18">
        <v>22</v>
      </c>
      <c r="B24" s="19"/>
      <c r="C24" s="18"/>
      <c r="D24" s="21">
        <v>422400</v>
      </c>
      <c r="E24" s="16" t="s">
        <v>3</v>
      </c>
      <c r="F24" s="23"/>
      <c r="G24" s="18"/>
    </row>
    <row r="25" spans="1:7" ht="18" thickBot="1">
      <c r="A25" s="18"/>
      <c r="B25" s="19"/>
      <c r="C25" s="18"/>
      <c r="D25" s="21">
        <v>245000</v>
      </c>
      <c r="E25" s="35" t="s">
        <v>11</v>
      </c>
      <c r="F25" s="23"/>
      <c r="G25" s="18"/>
    </row>
    <row r="26" spans="1:7" ht="18" thickBot="1">
      <c r="A26" s="18">
        <v>23</v>
      </c>
      <c r="B26" s="19"/>
      <c r="C26" s="18"/>
      <c r="D26" s="21">
        <v>540000</v>
      </c>
      <c r="E26" s="22" t="s">
        <v>21</v>
      </c>
      <c r="F26" s="23"/>
      <c r="G26" s="18"/>
    </row>
    <row r="27" spans="1:7" ht="18" thickBot="1">
      <c r="A27" s="18">
        <v>24</v>
      </c>
      <c r="B27" s="19"/>
      <c r="C27" s="18"/>
      <c r="D27" s="34">
        <v>1470000</v>
      </c>
      <c r="E27" s="35" t="s">
        <v>11</v>
      </c>
      <c r="F27" s="23"/>
      <c r="G27" s="18"/>
    </row>
    <row r="28" spans="1:7" ht="18" thickBot="1">
      <c r="A28" s="18">
        <v>25</v>
      </c>
      <c r="B28" s="19"/>
      <c r="C28" s="18"/>
      <c r="D28" s="34">
        <v>1692000</v>
      </c>
      <c r="E28" s="35" t="s">
        <v>11</v>
      </c>
      <c r="F28" s="23"/>
      <c r="G28" s="18"/>
    </row>
    <row r="29" spans="1:7" ht="18" thickBot="1">
      <c r="A29" s="24">
        <v>26</v>
      </c>
      <c r="B29" s="36"/>
      <c r="C29" s="37"/>
      <c r="D29" s="27">
        <v>418880</v>
      </c>
      <c r="E29" s="28" t="s">
        <v>10</v>
      </c>
      <c r="F29" s="29"/>
      <c r="G29" s="24"/>
    </row>
    <row r="30" spans="1:7" ht="18" thickBot="1">
      <c r="A30" s="30">
        <v>27</v>
      </c>
      <c r="B30" s="38"/>
      <c r="C30" s="39"/>
      <c r="D30" s="40">
        <v>540952</v>
      </c>
      <c r="E30" s="41" t="s">
        <v>10</v>
      </c>
      <c r="F30" s="42"/>
      <c r="G30" s="30"/>
    </row>
    <row r="31" spans="1:7" ht="19.5" thickBot="1">
      <c r="A31" s="30">
        <v>28</v>
      </c>
      <c r="B31" s="38"/>
      <c r="C31" s="39"/>
      <c r="D31" s="56">
        <v>3864312</v>
      </c>
      <c r="E31" s="60" t="s">
        <v>26</v>
      </c>
      <c r="F31" s="42"/>
      <c r="G31" s="30"/>
    </row>
    <row r="32" spans="1:7" ht="18" thickBot="1">
      <c r="A32" s="30"/>
      <c r="B32" s="38"/>
      <c r="C32" s="39"/>
      <c r="D32" s="40">
        <v>425236</v>
      </c>
      <c r="E32" s="341" t="s">
        <v>22</v>
      </c>
      <c r="F32" s="42"/>
      <c r="G32" s="30"/>
    </row>
    <row r="33" spans="1:7" ht="18" thickBot="1">
      <c r="A33" s="43">
        <v>29</v>
      </c>
      <c r="B33" s="44"/>
      <c r="C33" s="45"/>
      <c r="D33" s="46">
        <v>143633</v>
      </c>
      <c r="E33" s="47" t="s">
        <v>11</v>
      </c>
      <c r="F33" s="48"/>
      <c r="G33" s="43"/>
    </row>
    <row r="34" spans="1:7" ht="32.25" thickBot="1">
      <c r="A34" s="266"/>
      <c r="B34" s="267"/>
      <c r="C34" s="265" t="s">
        <v>28</v>
      </c>
      <c r="D34" s="410">
        <f>D3+D4+D5+D6+D7+D8+D9+D10+D11+D12+D13+D14+D15+D16+D17+D18+D19+D20++D21+D22+D23+D24+D25+D26+D27+D28+D29+D30+D31+D32+D33</f>
        <v>35952190.219999999</v>
      </c>
      <c r="E34" s="411"/>
      <c r="F34" s="268"/>
      <c r="G34" s="266"/>
    </row>
    <row r="35" spans="1:7" ht="19.5" thickBot="1">
      <c r="A35" s="49">
        <v>30</v>
      </c>
      <c r="B35" s="50"/>
      <c r="C35" s="51"/>
      <c r="D35" s="50"/>
      <c r="E35" s="51"/>
      <c r="F35" s="52"/>
      <c r="G35" s="49"/>
    </row>
    <row r="36" spans="1:7" ht="18" thickBot="1">
      <c r="A36" s="30">
        <v>31</v>
      </c>
      <c r="B36" s="53"/>
      <c r="C36" s="33"/>
      <c r="D36" s="34"/>
      <c r="E36" s="35"/>
      <c r="F36" s="53"/>
      <c r="G36" s="33"/>
    </row>
    <row r="37" spans="1:7" ht="18" thickBot="1">
      <c r="A37" s="30">
        <v>32</v>
      </c>
      <c r="B37" s="53"/>
      <c r="C37" s="33"/>
      <c r="D37" s="34"/>
      <c r="E37" s="35"/>
      <c r="F37" s="53"/>
      <c r="G37" s="33"/>
    </row>
    <row r="38" spans="1:7" ht="15.75">
      <c r="A38" s="65"/>
      <c r="B38" s="66"/>
      <c r="C38" s="66"/>
      <c r="D38" s="67"/>
      <c r="E38" s="66"/>
      <c r="F38" s="66"/>
      <c r="G38" s="66"/>
    </row>
    <row r="39" spans="1:7" ht="15.75">
      <c r="A39" s="65"/>
      <c r="B39" s="66"/>
      <c r="C39" s="66"/>
      <c r="D39" s="67"/>
      <c r="E39" s="66"/>
      <c r="F39" s="66"/>
      <c r="G39" s="66"/>
    </row>
    <row r="40" spans="1:7" ht="15.75">
      <c r="A40" s="65"/>
      <c r="B40" s="66"/>
      <c r="C40" s="66"/>
      <c r="D40" s="67"/>
      <c r="E40" s="66"/>
      <c r="F40" s="66"/>
      <c r="G40" s="66"/>
    </row>
    <row r="41" spans="1:7" ht="15.75">
      <c r="A41" s="65"/>
      <c r="B41" s="66"/>
      <c r="C41" s="66"/>
      <c r="D41" s="67"/>
      <c r="E41" s="66"/>
      <c r="F41" s="66"/>
      <c r="G41" s="66"/>
    </row>
    <row r="42" spans="1:7" ht="15.75">
      <c r="A42" s="65"/>
      <c r="B42" s="66"/>
      <c r="C42" s="66"/>
      <c r="D42" s="67"/>
      <c r="E42" s="66"/>
      <c r="F42" s="66"/>
      <c r="G42" s="66"/>
    </row>
    <row r="43" spans="1:7" ht="15.75">
      <c r="A43" s="65"/>
      <c r="B43" s="66"/>
      <c r="C43" s="66"/>
      <c r="D43" s="67"/>
      <c r="E43" s="66"/>
      <c r="F43" s="66"/>
      <c r="G43" s="66"/>
    </row>
    <row r="44" spans="1:7" ht="15.75">
      <c r="A44" s="65"/>
      <c r="B44" s="66"/>
      <c r="C44" s="66"/>
      <c r="D44" s="67"/>
      <c r="E44" s="66"/>
      <c r="F44" s="66"/>
      <c r="G44" s="66"/>
    </row>
    <row r="45" spans="1:7" ht="15.75">
      <c r="A45" s="65"/>
      <c r="B45" s="66"/>
      <c r="C45" s="66"/>
      <c r="D45" s="67"/>
      <c r="E45" s="66"/>
      <c r="F45" s="66"/>
      <c r="G45" s="66"/>
    </row>
    <row r="46" spans="1:7" ht="15.75">
      <c r="A46" s="65"/>
      <c r="B46" s="66"/>
      <c r="C46" s="66"/>
      <c r="D46" s="67"/>
      <c r="E46" s="66"/>
      <c r="F46" s="66"/>
      <c r="G46" s="66"/>
    </row>
    <row r="47" spans="1:7" ht="15.75">
      <c r="A47" s="65"/>
      <c r="B47" s="66"/>
      <c r="C47" s="66"/>
      <c r="D47" s="67"/>
      <c r="E47" s="66"/>
      <c r="F47" s="66"/>
      <c r="G47" s="66"/>
    </row>
    <row r="48" spans="1:7" ht="15.75">
      <c r="A48" s="65"/>
      <c r="B48" s="66"/>
      <c r="C48" s="66"/>
      <c r="D48" s="67"/>
      <c r="E48" s="66"/>
      <c r="F48" s="66"/>
      <c r="G48" s="66"/>
    </row>
    <row r="49" spans="1:7" ht="15.75">
      <c r="A49" s="65"/>
      <c r="B49" s="66"/>
      <c r="C49" s="66"/>
      <c r="D49" s="67"/>
      <c r="E49" s="66"/>
      <c r="F49" s="66"/>
      <c r="G49" s="66"/>
    </row>
    <row r="50" spans="1:7" ht="15.75">
      <c r="A50" s="65"/>
      <c r="B50" s="66"/>
      <c r="C50" s="66"/>
      <c r="D50" s="67"/>
      <c r="E50" s="66"/>
      <c r="F50" s="66"/>
      <c r="G50" s="66"/>
    </row>
    <row r="51" spans="1:7" ht="15.75">
      <c r="A51" s="65"/>
      <c r="B51" s="66"/>
      <c r="C51" s="66"/>
      <c r="D51" s="67"/>
      <c r="E51" s="66"/>
      <c r="F51" s="66"/>
      <c r="G51" s="66"/>
    </row>
    <row r="52" spans="1:7" ht="15.75">
      <c r="A52" s="65"/>
      <c r="B52" s="66"/>
      <c r="C52" s="66"/>
      <c r="D52" s="67"/>
      <c r="E52" s="66"/>
      <c r="F52" s="66"/>
      <c r="G52" s="66"/>
    </row>
    <row r="53" spans="1:7" ht="15.75">
      <c r="A53" s="65"/>
      <c r="B53" s="66"/>
      <c r="C53" s="66"/>
      <c r="D53" s="67"/>
      <c r="E53" s="66"/>
      <c r="F53" s="66"/>
      <c r="G53" s="66"/>
    </row>
    <row r="54" spans="1:7" ht="15.75">
      <c r="A54" s="65"/>
      <c r="B54" s="66"/>
      <c r="C54" s="66"/>
      <c r="D54" s="67"/>
      <c r="E54" s="66"/>
      <c r="F54" s="66"/>
      <c r="G54" s="66"/>
    </row>
    <row r="55" spans="1:7" ht="15.75">
      <c r="A55" s="65"/>
      <c r="B55" s="66"/>
      <c r="C55" s="66"/>
      <c r="D55" s="67"/>
      <c r="E55" s="66"/>
      <c r="F55" s="66"/>
      <c r="G55" s="66"/>
    </row>
    <row r="56" spans="1:7" ht="15.75">
      <c r="A56" s="65"/>
      <c r="B56" s="66"/>
      <c r="C56" s="66"/>
      <c r="D56" s="67"/>
      <c r="E56" s="66"/>
      <c r="F56" s="66"/>
      <c r="G56" s="66"/>
    </row>
    <row r="57" spans="1:7" ht="15.75">
      <c r="A57" s="65"/>
      <c r="B57" s="66"/>
      <c r="C57" s="66"/>
      <c r="D57" s="67"/>
      <c r="E57" s="66"/>
      <c r="F57" s="66"/>
      <c r="G57" s="66"/>
    </row>
    <row r="58" spans="1:7" ht="15.75">
      <c r="A58" s="65"/>
      <c r="B58" s="66"/>
      <c r="C58" s="66"/>
      <c r="D58" s="67"/>
      <c r="E58" s="66"/>
      <c r="F58" s="66"/>
      <c r="G58" s="66"/>
    </row>
    <row r="59" spans="1:7" ht="15.75">
      <c r="A59" s="65"/>
      <c r="B59" s="66"/>
      <c r="C59" s="66"/>
      <c r="D59" s="67"/>
      <c r="E59" s="66"/>
      <c r="F59" s="66"/>
      <c r="G59" s="66"/>
    </row>
    <row r="60" spans="1:7" ht="15.75">
      <c r="A60" s="65"/>
      <c r="B60" s="66"/>
      <c r="C60" s="66"/>
      <c r="D60" s="67"/>
      <c r="E60" s="66"/>
      <c r="F60" s="66"/>
      <c r="G60" s="66"/>
    </row>
    <row r="61" spans="1:7" ht="18.75">
      <c r="A61" s="65"/>
      <c r="B61" s="68"/>
      <c r="C61" s="69"/>
      <c r="D61" s="69"/>
      <c r="E61" s="66"/>
      <c r="F61" s="408"/>
      <c r="G61" s="408"/>
    </row>
    <row r="62" spans="1:7">
      <c r="A62" s="70"/>
      <c r="B62" s="70"/>
      <c r="C62" s="70"/>
      <c r="D62" s="70"/>
      <c r="E62" s="70"/>
      <c r="F62" s="70"/>
      <c r="G62" s="70"/>
    </row>
  </sheetData>
  <mergeCells count="3">
    <mergeCell ref="F61:G61"/>
    <mergeCell ref="A1:G1"/>
    <mergeCell ref="D34:E34"/>
  </mergeCells>
  <pageMargins left="0.7" right="0.7" top="0.22" bottom="0.24" header="0.2" footer="0.22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topLeftCell="A19" workbookViewId="0">
      <selection activeCell="K32" sqref="K32"/>
    </sheetView>
  </sheetViews>
  <sheetFormatPr baseColWidth="10" defaultRowHeight="15"/>
  <cols>
    <col min="1" max="1" width="9.140625" customWidth="1"/>
    <col min="2" max="2" width="14.140625" customWidth="1"/>
    <col min="3" max="3" width="20" customWidth="1"/>
    <col min="4" max="4" width="17.28515625" customWidth="1"/>
    <col min="5" max="5" width="29.5703125" customWidth="1"/>
  </cols>
  <sheetData>
    <row r="1" spans="1:5" s="64" customFormat="1" ht="28.5" customHeight="1" thickBot="1">
      <c r="A1" s="412" t="s">
        <v>31</v>
      </c>
      <c r="B1" s="413"/>
      <c r="C1" s="413"/>
      <c r="D1" s="413"/>
      <c r="E1" s="414"/>
    </row>
    <row r="2" spans="1:5" ht="6" customHeight="1" thickBot="1">
      <c r="A2" s="71"/>
      <c r="B2" s="72"/>
      <c r="C2" s="72"/>
      <c r="D2" s="72"/>
      <c r="E2" s="73"/>
    </row>
    <row r="3" spans="1:5" s="61" customFormat="1" ht="19.5" thickBot="1">
      <c r="A3" s="74" t="s">
        <v>0</v>
      </c>
      <c r="B3" s="75" t="s">
        <v>27</v>
      </c>
      <c r="C3" s="74" t="s">
        <v>13</v>
      </c>
      <c r="D3" s="75" t="s">
        <v>29</v>
      </c>
      <c r="E3" s="74" t="s">
        <v>1</v>
      </c>
    </row>
    <row r="4" spans="1:5" ht="18.75">
      <c r="A4" s="76">
        <v>1</v>
      </c>
      <c r="B4" s="77">
        <v>42614</v>
      </c>
      <c r="C4" s="78">
        <v>332150</v>
      </c>
      <c r="D4" s="79"/>
      <c r="E4" s="76"/>
    </row>
    <row r="5" spans="1:5" ht="18.75">
      <c r="A5" s="80">
        <v>2</v>
      </c>
      <c r="B5" s="81">
        <v>42644</v>
      </c>
      <c r="C5" s="82">
        <v>290000</v>
      </c>
      <c r="D5" s="83"/>
      <c r="E5" s="80"/>
    </row>
    <row r="6" spans="1:5" ht="18.75">
      <c r="A6" s="80">
        <v>3</v>
      </c>
      <c r="B6" s="81">
        <v>42675</v>
      </c>
      <c r="C6" s="82">
        <v>530000</v>
      </c>
      <c r="D6" s="83">
        <v>280000</v>
      </c>
      <c r="E6" s="80"/>
    </row>
    <row r="7" spans="1:5" ht="18.75">
      <c r="A7" s="80">
        <v>4</v>
      </c>
      <c r="B7" s="81">
        <v>42705</v>
      </c>
      <c r="C7" s="82">
        <v>247000</v>
      </c>
      <c r="D7" s="83">
        <v>280000</v>
      </c>
      <c r="E7" s="80"/>
    </row>
    <row r="8" spans="1:5" ht="18.75">
      <c r="A8" s="80">
        <v>5</v>
      </c>
      <c r="B8" s="81">
        <v>42736</v>
      </c>
      <c r="C8" s="82">
        <v>199000</v>
      </c>
      <c r="D8" s="83">
        <v>280000</v>
      </c>
      <c r="E8" s="80"/>
    </row>
    <row r="9" spans="1:5" ht="18.75">
      <c r="A9" s="80">
        <v>6</v>
      </c>
      <c r="B9" s="81">
        <v>42767</v>
      </c>
      <c r="C9" s="82">
        <v>177000</v>
      </c>
      <c r="D9" s="83">
        <v>280000</v>
      </c>
      <c r="E9" s="80"/>
    </row>
    <row r="10" spans="1:5" ht="18.75">
      <c r="A10" s="80">
        <v>7</v>
      </c>
      <c r="B10" s="81">
        <v>42795</v>
      </c>
      <c r="C10" s="82">
        <v>708000</v>
      </c>
      <c r="D10" s="83"/>
      <c r="E10" s="80"/>
    </row>
    <row r="11" spans="1:5" ht="18.75">
      <c r="A11" s="80">
        <v>8</v>
      </c>
      <c r="B11" s="81">
        <v>42826</v>
      </c>
      <c r="C11" s="82">
        <v>708000</v>
      </c>
      <c r="D11" s="83"/>
      <c r="E11" s="80"/>
    </row>
    <row r="12" spans="1:5" ht="18.75">
      <c r="A12" s="80">
        <v>9</v>
      </c>
      <c r="B12" s="81">
        <v>42856</v>
      </c>
      <c r="C12" s="82">
        <v>675000</v>
      </c>
      <c r="D12" s="83"/>
      <c r="E12" s="80"/>
    </row>
    <row r="13" spans="1:5" ht="18.75">
      <c r="A13" s="80">
        <v>10</v>
      </c>
      <c r="B13" s="81">
        <v>42887</v>
      </c>
      <c r="C13" s="82">
        <v>740000</v>
      </c>
      <c r="D13" s="83"/>
      <c r="E13" s="80"/>
    </row>
    <row r="14" spans="1:5" ht="18.75">
      <c r="A14" s="80">
        <v>11</v>
      </c>
      <c r="B14" s="81">
        <v>42917</v>
      </c>
      <c r="C14" s="82">
        <v>740000</v>
      </c>
      <c r="D14" s="83"/>
      <c r="E14" s="80"/>
    </row>
    <row r="15" spans="1:5" ht="18.75">
      <c r="A15" s="80">
        <v>12</v>
      </c>
      <c r="B15" s="81">
        <v>42948</v>
      </c>
      <c r="C15" s="82">
        <v>676000</v>
      </c>
      <c r="D15" s="83"/>
      <c r="E15" s="80"/>
    </row>
    <row r="16" spans="1:5" ht="18.75">
      <c r="A16" s="80">
        <v>13</v>
      </c>
      <c r="B16" s="81">
        <v>42979</v>
      </c>
      <c r="C16" s="82">
        <v>686000</v>
      </c>
      <c r="D16" s="83"/>
      <c r="E16" s="80"/>
    </row>
    <row r="17" spans="1:5" ht="18.75">
      <c r="A17" s="80">
        <v>14</v>
      </c>
      <c r="B17" s="81">
        <v>43009</v>
      </c>
      <c r="C17" s="82">
        <v>644000</v>
      </c>
      <c r="D17" s="83"/>
      <c r="E17" s="80"/>
    </row>
    <row r="18" spans="1:5" ht="18.75">
      <c r="A18" s="80">
        <v>15</v>
      </c>
      <c r="B18" s="81">
        <v>43040</v>
      </c>
      <c r="C18" s="82">
        <v>642000</v>
      </c>
      <c r="D18" s="83"/>
      <c r="E18" s="80"/>
    </row>
    <row r="19" spans="1:5" ht="18.75">
      <c r="A19" s="80">
        <v>16</v>
      </c>
      <c r="B19" s="81">
        <v>43070</v>
      </c>
      <c r="C19" s="82">
        <v>637000</v>
      </c>
      <c r="D19" s="83"/>
      <c r="E19" s="80"/>
    </row>
    <row r="20" spans="1:5" ht="18.75">
      <c r="A20" s="80">
        <v>17</v>
      </c>
      <c r="B20" s="81">
        <v>43101</v>
      </c>
      <c r="C20" s="82">
        <v>906000</v>
      </c>
      <c r="D20" s="83"/>
      <c r="E20" s="80"/>
    </row>
    <row r="21" spans="1:5" ht="18.75">
      <c r="A21" s="80">
        <v>18</v>
      </c>
      <c r="B21" s="81">
        <v>43132</v>
      </c>
      <c r="C21" s="82">
        <v>1022000</v>
      </c>
      <c r="D21" s="83"/>
      <c r="E21" s="80"/>
    </row>
    <row r="22" spans="1:5" ht="18.75">
      <c r="A22" s="80">
        <v>19</v>
      </c>
      <c r="B22" s="81">
        <v>43160</v>
      </c>
      <c r="C22" s="82">
        <v>978500</v>
      </c>
      <c r="D22" s="83"/>
      <c r="E22" s="80"/>
    </row>
    <row r="23" spans="1:5" ht="18.75">
      <c r="A23" s="80">
        <v>20</v>
      </c>
      <c r="B23" s="81">
        <v>43191</v>
      </c>
      <c r="C23" s="82">
        <v>970000</v>
      </c>
      <c r="D23" s="83"/>
      <c r="E23" s="80"/>
    </row>
    <row r="24" spans="1:5" ht="19.5" thickBot="1">
      <c r="A24" s="84">
        <v>21</v>
      </c>
      <c r="B24" s="85">
        <v>43221</v>
      </c>
      <c r="C24" s="86">
        <v>1038000</v>
      </c>
      <c r="D24" s="87"/>
      <c r="E24" s="84"/>
    </row>
    <row r="25" spans="1:5" ht="19.5" thickBot="1">
      <c r="A25" s="88">
        <v>22</v>
      </c>
      <c r="B25" s="89">
        <v>43252</v>
      </c>
      <c r="C25" s="90">
        <v>1121000</v>
      </c>
      <c r="D25" s="91"/>
      <c r="E25" s="88"/>
    </row>
    <row r="26" spans="1:5" ht="19.5" thickBot="1">
      <c r="A26" s="88">
        <v>23</v>
      </c>
      <c r="B26" s="89">
        <v>43282</v>
      </c>
      <c r="C26" s="90">
        <v>1214200</v>
      </c>
      <c r="D26" s="91"/>
      <c r="E26" s="88"/>
    </row>
    <row r="27" spans="1:5" ht="19.5" thickBot="1">
      <c r="A27" s="88">
        <v>24</v>
      </c>
      <c r="B27" s="89">
        <v>43313</v>
      </c>
      <c r="C27" s="90">
        <v>1192100</v>
      </c>
      <c r="D27" s="91"/>
      <c r="E27" s="88"/>
    </row>
    <row r="28" spans="1:5" ht="18.75">
      <c r="A28" s="92">
        <v>25</v>
      </c>
      <c r="B28" s="93">
        <v>43344</v>
      </c>
      <c r="C28" s="94">
        <v>531528.5</v>
      </c>
      <c r="D28" s="95"/>
      <c r="E28" s="62" t="s">
        <v>30</v>
      </c>
    </row>
    <row r="29" spans="1:5" ht="18.75">
      <c r="A29" s="80">
        <v>26</v>
      </c>
      <c r="B29" s="81">
        <v>43374</v>
      </c>
      <c r="C29" s="82">
        <v>611000</v>
      </c>
      <c r="D29" s="83"/>
      <c r="E29" s="63" t="s">
        <v>30</v>
      </c>
    </row>
    <row r="30" spans="1:5" ht="18.75">
      <c r="A30" s="80">
        <v>27</v>
      </c>
      <c r="B30" s="81">
        <v>43405</v>
      </c>
      <c r="C30" s="82">
        <v>688700</v>
      </c>
      <c r="D30" s="83"/>
      <c r="E30" s="63" t="s">
        <v>30</v>
      </c>
    </row>
    <row r="31" spans="1:5" ht="18.75">
      <c r="A31" s="80">
        <v>28</v>
      </c>
      <c r="B31" s="81">
        <v>43435</v>
      </c>
      <c r="C31" s="82">
        <v>798000</v>
      </c>
      <c r="D31" s="83"/>
      <c r="E31" s="63" t="s">
        <v>30</v>
      </c>
    </row>
    <row r="32" spans="1:5" ht="18.75">
      <c r="A32" s="80">
        <v>29</v>
      </c>
      <c r="B32" s="81">
        <v>43466</v>
      </c>
      <c r="C32" s="82">
        <v>811600</v>
      </c>
      <c r="D32" s="83"/>
      <c r="E32" s="63" t="s">
        <v>30</v>
      </c>
    </row>
    <row r="33" spans="1:5" ht="18.75">
      <c r="A33" s="80">
        <v>30</v>
      </c>
      <c r="B33" s="81">
        <v>43497</v>
      </c>
      <c r="C33" s="82">
        <v>861800</v>
      </c>
      <c r="D33" s="83"/>
      <c r="E33" s="63" t="s">
        <v>30</v>
      </c>
    </row>
    <row r="34" spans="1:5" ht="18.75">
      <c r="A34" s="80">
        <v>31</v>
      </c>
      <c r="B34" s="81">
        <v>43525</v>
      </c>
      <c r="C34" s="82">
        <v>925300</v>
      </c>
      <c r="D34" s="83"/>
      <c r="E34" s="63" t="s">
        <v>30</v>
      </c>
    </row>
    <row r="35" spans="1:5" ht="19.5" thickBot="1">
      <c r="A35" s="84">
        <v>32</v>
      </c>
      <c r="B35" s="85">
        <v>43556</v>
      </c>
      <c r="C35" s="86">
        <v>766000</v>
      </c>
      <c r="D35" s="87"/>
      <c r="E35" s="98" t="s">
        <v>30</v>
      </c>
    </row>
    <row r="36" spans="1:5" ht="27.75" thickBot="1">
      <c r="A36" s="415" t="s">
        <v>28</v>
      </c>
      <c r="B36" s="416"/>
      <c r="C36" s="96">
        <f>C4+C5+C6+C7+C8+C9+C10+C11+C12+C13+C14+C15+C16+C17+C18+C19+C20+C21+C22+C23+C24+C25+C26+C27+C28+C29+C30+C31+C32+C33+C34+C35</f>
        <v>23066878.5</v>
      </c>
      <c r="D36" s="97">
        <f>D6+D7+D8+D9</f>
        <v>1120000</v>
      </c>
      <c r="E36" s="263">
        <f>C36+D36</f>
        <v>24186878.5</v>
      </c>
    </row>
    <row r="37" spans="1:5" s="100" customFormat="1" ht="24" thickBot="1">
      <c r="A37" s="264"/>
      <c r="B37" s="417" t="s">
        <v>33</v>
      </c>
      <c r="C37" s="417"/>
      <c r="D37" s="417"/>
      <c r="E37" s="418"/>
    </row>
    <row r="38" spans="1:5" s="4" customFormat="1" ht="15.75" thickBot="1">
      <c r="A38" s="246" t="s">
        <v>142</v>
      </c>
      <c r="B38" s="247"/>
      <c r="C38" s="247"/>
      <c r="D38" s="247"/>
      <c r="E38" s="248"/>
    </row>
    <row r="39" spans="1:5" ht="20.25" thickBot="1">
      <c r="A39" s="419" t="s">
        <v>147</v>
      </c>
      <c r="B39" s="420"/>
      <c r="C39" s="421"/>
      <c r="D39" s="262" t="s">
        <v>28</v>
      </c>
      <c r="E39" s="245"/>
    </row>
    <row r="40" spans="1:5" ht="25.5" customHeight="1" thickBot="1">
      <c r="A40" s="259"/>
      <c r="B40" s="260"/>
      <c r="C40" s="422" t="s">
        <v>145</v>
      </c>
      <c r="D40" s="423"/>
      <c r="E40" s="261"/>
    </row>
  </sheetData>
  <mergeCells count="5">
    <mergeCell ref="A1:E1"/>
    <mergeCell ref="A36:B36"/>
    <mergeCell ref="B37:E37"/>
    <mergeCell ref="A39:C39"/>
    <mergeCell ref="C40:D40"/>
  </mergeCells>
  <pageMargins left="0.44" right="0.7" top="0.32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I20" sqref="I20"/>
    </sheetView>
  </sheetViews>
  <sheetFormatPr baseColWidth="10" defaultRowHeight="15"/>
  <cols>
    <col min="1" max="1" width="9.140625" customWidth="1"/>
    <col min="2" max="2" width="25.140625" customWidth="1"/>
    <col min="3" max="3" width="20" customWidth="1"/>
    <col min="4" max="4" width="38.85546875" customWidth="1"/>
    <col min="5" max="5" width="24.28515625" customWidth="1"/>
  </cols>
  <sheetData>
    <row r="1" spans="1:5" s="64" customFormat="1" ht="28.5" customHeight="1" thickBot="1">
      <c r="A1" s="412" t="s">
        <v>34</v>
      </c>
      <c r="B1" s="413"/>
      <c r="C1" s="413"/>
      <c r="D1" s="413"/>
      <c r="E1" s="414"/>
    </row>
    <row r="2" spans="1:5" ht="6" customHeight="1" thickBot="1">
      <c r="A2" s="71"/>
      <c r="B2" s="72"/>
      <c r="C2" s="72"/>
      <c r="D2" s="72"/>
      <c r="E2" s="73"/>
    </row>
    <row r="3" spans="1:5" s="61" customFormat="1" ht="19.5" thickBot="1">
      <c r="A3" s="74" t="s">
        <v>0</v>
      </c>
      <c r="B3" s="75" t="s">
        <v>35</v>
      </c>
      <c r="C3" s="74" t="s">
        <v>2</v>
      </c>
      <c r="D3" s="75" t="s">
        <v>14</v>
      </c>
      <c r="E3" s="74" t="s">
        <v>45</v>
      </c>
    </row>
    <row r="4" spans="1:5" ht="19.5" thickBot="1">
      <c r="A4" s="105">
        <v>1</v>
      </c>
      <c r="B4" s="106">
        <v>700000</v>
      </c>
      <c r="C4" s="107">
        <v>42582</v>
      </c>
      <c r="D4" s="108" t="s">
        <v>39</v>
      </c>
      <c r="E4" s="104" t="s">
        <v>46</v>
      </c>
    </row>
    <row r="5" spans="1:5" ht="19.5" thickBot="1">
      <c r="A5" s="88"/>
      <c r="B5" s="91">
        <v>50000</v>
      </c>
      <c r="C5" s="109">
        <v>42623</v>
      </c>
      <c r="D5" s="110" t="s">
        <v>38</v>
      </c>
      <c r="E5" s="104" t="s">
        <v>46</v>
      </c>
    </row>
    <row r="6" spans="1:5" ht="19.5" thickBot="1">
      <c r="A6" s="111">
        <v>2</v>
      </c>
      <c r="B6" s="112">
        <v>1000000</v>
      </c>
      <c r="C6" s="113">
        <v>42648</v>
      </c>
      <c r="D6" s="114" t="s">
        <v>39</v>
      </c>
      <c r="E6" s="104" t="s">
        <v>46</v>
      </c>
    </row>
    <row r="7" spans="1:5" ht="19.5" thickBot="1">
      <c r="A7" s="88">
        <v>3</v>
      </c>
      <c r="B7" s="91">
        <v>1380000</v>
      </c>
      <c r="C7" s="109">
        <v>42735</v>
      </c>
      <c r="D7" s="110" t="s">
        <v>40</v>
      </c>
      <c r="E7" s="104" t="s">
        <v>46</v>
      </c>
    </row>
    <row r="8" spans="1:5" ht="19.5" thickBot="1">
      <c r="A8" s="111">
        <v>4</v>
      </c>
      <c r="B8" s="112">
        <v>400000</v>
      </c>
      <c r="C8" s="113">
        <v>42855</v>
      </c>
      <c r="D8" s="114" t="s">
        <v>42</v>
      </c>
      <c r="E8" s="104" t="s">
        <v>46</v>
      </c>
    </row>
    <row r="9" spans="1:5" ht="19.5" thickBot="1">
      <c r="A9" s="88">
        <v>5</v>
      </c>
      <c r="B9" s="91">
        <v>300000</v>
      </c>
      <c r="C9" s="109">
        <v>42948</v>
      </c>
      <c r="D9" s="110" t="s">
        <v>43</v>
      </c>
      <c r="E9" s="104" t="s">
        <v>46</v>
      </c>
    </row>
    <row r="10" spans="1:5" ht="19.5" thickBot="1">
      <c r="A10" s="88">
        <v>6</v>
      </c>
      <c r="B10" s="91">
        <v>300000</v>
      </c>
      <c r="C10" s="109">
        <v>43039</v>
      </c>
      <c r="D10" s="110" t="s">
        <v>44</v>
      </c>
      <c r="E10" s="104" t="s">
        <v>46</v>
      </c>
    </row>
    <row r="11" spans="1:5" ht="19.5" thickBot="1">
      <c r="A11" s="88"/>
      <c r="B11" s="91">
        <v>201000</v>
      </c>
      <c r="C11" s="109">
        <v>42865</v>
      </c>
      <c r="D11" s="117" t="s">
        <v>47</v>
      </c>
      <c r="E11" s="118" t="s">
        <v>46</v>
      </c>
    </row>
    <row r="12" spans="1:5" ht="19.5" thickBot="1">
      <c r="A12" s="111">
        <v>7</v>
      </c>
      <c r="B12" s="112">
        <v>50000</v>
      </c>
      <c r="C12" s="115" t="s">
        <v>41</v>
      </c>
      <c r="D12" s="114" t="s">
        <v>36</v>
      </c>
      <c r="E12" s="119" t="s">
        <v>46</v>
      </c>
    </row>
    <row r="13" spans="1:5" ht="19.5" thickBot="1">
      <c r="A13" s="88">
        <v>8</v>
      </c>
      <c r="B13" s="91">
        <v>58000</v>
      </c>
      <c r="C13" s="116" t="s">
        <v>41</v>
      </c>
      <c r="D13" s="117" t="s">
        <v>37</v>
      </c>
      <c r="E13" s="118" t="s">
        <v>46</v>
      </c>
    </row>
    <row r="14" spans="1:5" ht="18.75">
      <c r="A14" s="92">
        <v>9</v>
      </c>
      <c r="B14" s="120">
        <v>600000</v>
      </c>
      <c r="C14" s="124" t="s">
        <v>50</v>
      </c>
      <c r="D14" s="121" t="s">
        <v>48</v>
      </c>
      <c r="E14" s="92"/>
    </row>
    <row r="15" spans="1:5" ht="18.75">
      <c r="A15" s="80">
        <v>10</v>
      </c>
      <c r="B15" s="122">
        <v>300000</v>
      </c>
      <c r="C15" s="125" t="s">
        <v>50</v>
      </c>
      <c r="D15" s="123" t="s">
        <v>49</v>
      </c>
      <c r="E15" s="80"/>
    </row>
    <row r="16" spans="1:5" ht="18.75">
      <c r="A16" s="80">
        <v>11</v>
      </c>
      <c r="B16" s="83"/>
      <c r="C16" s="101"/>
      <c r="D16" s="83"/>
      <c r="E16" s="80"/>
    </row>
    <row r="17" spans="1:5" ht="18.75">
      <c r="A17" s="80">
        <v>12</v>
      </c>
      <c r="B17" s="83"/>
      <c r="C17" s="101"/>
      <c r="D17" s="83"/>
      <c r="E17" s="80"/>
    </row>
    <row r="18" spans="1:5" ht="18.75">
      <c r="A18" s="80">
        <v>13</v>
      </c>
      <c r="B18" s="83"/>
      <c r="C18" s="101"/>
      <c r="D18" s="83"/>
      <c r="E18" s="80"/>
    </row>
    <row r="19" spans="1:5" ht="18.75">
      <c r="A19" s="80">
        <v>14</v>
      </c>
      <c r="B19" s="83"/>
      <c r="C19" s="101"/>
      <c r="D19" s="83"/>
      <c r="E19" s="80"/>
    </row>
    <row r="20" spans="1:5" ht="18.75">
      <c r="A20" s="80">
        <v>15</v>
      </c>
      <c r="B20" s="83"/>
      <c r="C20" s="101"/>
      <c r="D20" s="83"/>
      <c r="E20" s="80"/>
    </row>
    <row r="21" spans="1:5" ht="18.75">
      <c r="A21" s="80">
        <v>19</v>
      </c>
      <c r="B21" s="83"/>
      <c r="C21" s="101"/>
      <c r="D21" s="83"/>
      <c r="E21" s="80"/>
    </row>
    <row r="22" spans="1:5" ht="18.75">
      <c r="A22" s="80">
        <v>20</v>
      </c>
      <c r="B22" s="83"/>
      <c r="C22" s="101"/>
      <c r="D22" s="83"/>
      <c r="E22" s="80"/>
    </row>
    <row r="23" spans="1:5" ht="18.75">
      <c r="A23" s="84">
        <v>21</v>
      </c>
      <c r="B23" s="87"/>
      <c r="C23" s="102"/>
      <c r="D23" s="87"/>
      <c r="E23" s="84"/>
    </row>
    <row r="24" spans="1:5" ht="18.75">
      <c r="A24" s="80">
        <v>30</v>
      </c>
      <c r="B24" s="83"/>
      <c r="C24" s="101"/>
      <c r="D24" s="83"/>
      <c r="E24" s="63"/>
    </row>
    <row r="25" spans="1:5" ht="18.75">
      <c r="A25" s="80">
        <v>31</v>
      </c>
      <c r="B25" s="83"/>
      <c r="C25" s="101"/>
      <c r="D25" s="83"/>
      <c r="E25" s="63"/>
    </row>
    <row r="26" spans="1:5" ht="19.5" thickBot="1">
      <c r="A26" s="84">
        <v>32</v>
      </c>
      <c r="B26" s="87"/>
      <c r="C26" s="102"/>
      <c r="D26" s="87"/>
      <c r="E26" s="98"/>
    </row>
    <row r="27" spans="1:5" ht="34.5" thickBot="1">
      <c r="A27" s="415" t="s">
        <v>28</v>
      </c>
      <c r="B27" s="416"/>
      <c r="C27" s="425">
        <f>B4+B5+B6+B7+B8+B9+B10+B11+B12+B13</f>
        <v>4439000</v>
      </c>
      <c r="D27" s="426"/>
      <c r="E27" s="103"/>
    </row>
    <row r="28" spans="1:5" ht="15.75">
      <c r="A28" s="3"/>
      <c r="B28" s="3"/>
      <c r="C28" s="3"/>
      <c r="D28" s="3"/>
      <c r="E28" s="3"/>
    </row>
    <row r="29" spans="1:5" s="100" customFormat="1" ht="23.25">
      <c r="A29" s="99"/>
      <c r="B29" s="424"/>
      <c r="C29" s="424"/>
      <c r="D29" s="424"/>
      <c r="E29" s="424"/>
    </row>
    <row r="30" spans="1:5" s="4" customFormat="1" ht="15.75">
      <c r="A30" s="3"/>
      <c r="B30" s="3"/>
      <c r="C30" s="3"/>
      <c r="D30" s="3"/>
      <c r="E30" s="3"/>
    </row>
    <row r="31" spans="1:5" s="4" customFormat="1"/>
  </sheetData>
  <mergeCells count="4">
    <mergeCell ref="A1:E1"/>
    <mergeCell ref="A27:B27"/>
    <mergeCell ref="B29:E29"/>
    <mergeCell ref="C27:D27"/>
  </mergeCells>
  <pageMargins left="0.79" right="0.7" top="0.32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D28" sqref="D28"/>
    </sheetView>
  </sheetViews>
  <sheetFormatPr baseColWidth="10" defaultRowHeight="15"/>
  <cols>
    <col min="1" max="1" width="9.140625" customWidth="1"/>
    <col min="2" max="2" width="31.42578125" customWidth="1"/>
    <col min="3" max="3" width="20" customWidth="1"/>
    <col min="4" max="4" width="38.85546875" customWidth="1"/>
    <col min="5" max="5" width="22.42578125" customWidth="1"/>
  </cols>
  <sheetData>
    <row r="1" spans="1:5" s="64" customFormat="1" ht="42" customHeight="1" thickBot="1">
      <c r="A1" s="412" t="s">
        <v>51</v>
      </c>
      <c r="B1" s="413"/>
      <c r="C1" s="413"/>
      <c r="D1" s="413"/>
      <c r="E1" s="414"/>
    </row>
    <row r="2" spans="1:5" ht="6" customHeight="1" thickBot="1">
      <c r="A2" s="71"/>
      <c r="B2" s="72"/>
      <c r="C2" s="72"/>
      <c r="D2" s="72"/>
      <c r="E2" s="73"/>
    </row>
    <row r="3" spans="1:5" s="61" customFormat="1" ht="19.5" thickBot="1">
      <c r="A3" s="74" t="s">
        <v>0</v>
      </c>
      <c r="B3" s="75" t="s">
        <v>35</v>
      </c>
      <c r="C3" s="74" t="s">
        <v>2</v>
      </c>
      <c r="D3" s="75" t="s">
        <v>14</v>
      </c>
      <c r="E3" s="74" t="s">
        <v>45</v>
      </c>
    </row>
    <row r="4" spans="1:5" ht="19.5" thickBot="1">
      <c r="A4" s="105">
        <v>1</v>
      </c>
      <c r="B4" s="106">
        <v>230000000</v>
      </c>
      <c r="C4" s="126">
        <v>2016</v>
      </c>
      <c r="D4" s="108" t="s">
        <v>52</v>
      </c>
      <c r="E4" s="104"/>
    </row>
    <row r="5" spans="1:5" ht="19.5" thickBot="1">
      <c r="A5" s="88"/>
      <c r="B5" s="91"/>
      <c r="C5" s="109"/>
      <c r="D5" s="110" t="s">
        <v>53</v>
      </c>
      <c r="E5" s="104"/>
    </row>
    <row r="6" spans="1:5" ht="19.5" thickBot="1">
      <c r="A6" s="111">
        <v>2</v>
      </c>
      <c r="B6" s="112"/>
      <c r="C6" s="113"/>
      <c r="D6" s="114" t="s">
        <v>54</v>
      </c>
      <c r="E6" s="104"/>
    </row>
    <row r="7" spans="1:5" ht="19.5" thickBot="1">
      <c r="A7" s="88">
        <v>3</v>
      </c>
      <c r="B7" s="91"/>
      <c r="C7" s="109"/>
      <c r="D7" s="110"/>
      <c r="E7" s="104"/>
    </row>
    <row r="8" spans="1:5" ht="19.5" thickBot="1">
      <c r="A8" s="111">
        <v>4</v>
      </c>
      <c r="B8" s="112"/>
      <c r="C8" s="113"/>
      <c r="D8" s="114"/>
      <c r="E8" s="104"/>
    </row>
    <row r="9" spans="1:5" ht="19.5" thickBot="1">
      <c r="A9" s="88">
        <v>5</v>
      </c>
      <c r="B9" s="91"/>
      <c r="C9" s="109"/>
      <c r="D9" s="110"/>
      <c r="E9" s="104"/>
    </row>
    <row r="10" spans="1:5" ht="19.5" thickBot="1">
      <c r="A10" s="88">
        <v>6</v>
      </c>
      <c r="B10" s="91"/>
      <c r="C10" s="109"/>
      <c r="D10" s="110"/>
      <c r="E10" s="104"/>
    </row>
    <row r="11" spans="1:5" ht="19.5" thickBot="1">
      <c r="A11" s="88"/>
      <c r="B11" s="91"/>
      <c r="C11" s="109"/>
      <c r="D11" s="117"/>
      <c r="E11" s="118"/>
    </row>
    <row r="12" spans="1:5" ht="19.5" thickBot="1">
      <c r="A12" s="111">
        <v>7</v>
      </c>
      <c r="B12" s="112"/>
      <c r="C12" s="115"/>
      <c r="D12" s="114"/>
      <c r="E12" s="119"/>
    </row>
    <row r="13" spans="1:5" ht="19.5" thickBot="1">
      <c r="A13" s="88">
        <v>8</v>
      </c>
      <c r="B13" s="91"/>
      <c r="C13" s="116"/>
      <c r="D13" s="117"/>
      <c r="E13" s="118"/>
    </row>
    <row r="14" spans="1:5" ht="19.5" thickBot="1">
      <c r="A14" s="84"/>
      <c r="B14" s="87"/>
      <c r="C14" s="102"/>
      <c r="D14" s="87"/>
      <c r="E14" s="98"/>
    </row>
    <row r="15" spans="1:5" s="128" customFormat="1" ht="36" customHeight="1" thickBot="1">
      <c r="A15" s="427" t="s">
        <v>28</v>
      </c>
      <c r="B15" s="428"/>
      <c r="C15" s="429">
        <f>B4+B5+B6+B7+B8+B9+B10+B11+B12+B13</f>
        <v>230000000</v>
      </c>
      <c r="D15" s="430"/>
      <c r="E15" s="127"/>
    </row>
    <row r="16" spans="1:5" ht="15.75">
      <c r="A16" s="3"/>
      <c r="B16" s="3"/>
      <c r="C16" s="3"/>
      <c r="D16" s="3"/>
      <c r="E16" s="3"/>
    </row>
    <row r="17" spans="1:5" s="100" customFormat="1" ht="23.25">
      <c r="A17" s="99"/>
      <c r="B17" s="424"/>
      <c r="C17" s="424"/>
      <c r="D17" s="424"/>
      <c r="E17" s="424"/>
    </row>
    <row r="18" spans="1:5" s="4" customFormat="1" ht="15.75">
      <c r="A18" s="3"/>
      <c r="B18" s="3"/>
      <c r="C18" s="3"/>
      <c r="D18" s="3"/>
      <c r="E18" s="3"/>
    </row>
    <row r="19" spans="1:5" s="4" customFormat="1"/>
  </sheetData>
  <mergeCells count="4">
    <mergeCell ref="A1:E1"/>
    <mergeCell ref="A15:B15"/>
    <mergeCell ref="C15:D15"/>
    <mergeCell ref="B17:E17"/>
  </mergeCells>
  <pageMargins left="0.79" right="0.7" top="0.32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C15" sqref="C15:D15"/>
    </sheetView>
  </sheetViews>
  <sheetFormatPr baseColWidth="10" defaultRowHeight="15"/>
  <cols>
    <col min="1" max="1" width="9.140625" customWidth="1"/>
    <col min="2" max="2" width="34" customWidth="1"/>
    <col min="3" max="3" width="20" customWidth="1"/>
    <col min="4" max="4" width="38.85546875" customWidth="1"/>
    <col min="5" max="5" width="22.42578125" customWidth="1"/>
  </cols>
  <sheetData>
    <row r="1" spans="1:5" s="131" customFormat="1" ht="42" customHeight="1" thickBot="1">
      <c r="A1" s="132" t="s">
        <v>58</v>
      </c>
      <c r="B1" s="133"/>
      <c r="C1" s="133"/>
      <c r="D1" s="133"/>
      <c r="E1" s="134"/>
    </row>
    <row r="2" spans="1:5" s="64" customFormat="1" ht="34.5" customHeight="1" thickBot="1">
      <c r="A2" s="135" t="s">
        <v>59</v>
      </c>
      <c r="B2" s="136"/>
      <c r="C2" s="136"/>
      <c r="D2" s="136"/>
      <c r="E2" s="137"/>
    </row>
    <row r="3" spans="1:5" s="61" customFormat="1" ht="19.5" thickBot="1">
      <c r="A3" s="74" t="s">
        <v>0</v>
      </c>
      <c r="B3" s="75" t="s">
        <v>55</v>
      </c>
      <c r="C3" s="74" t="s">
        <v>2</v>
      </c>
      <c r="D3" s="75" t="s">
        <v>14</v>
      </c>
      <c r="E3" s="74" t="s">
        <v>45</v>
      </c>
    </row>
    <row r="4" spans="1:5" ht="21.75" thickBot="1">
      <c r="A4" s="105">
        <v>1</v>
      </c>
      <c r="B4" s="129">
        <v>26312270.449999999</v>
      </c>
      <c r="C4" s="107">
        <v>42676</v>
      </c>
      <c r="D4" s="108" t="s">
        <v>56</v>
      </c>
      <c r="E4" s="104"/>
    </row>
    <row r="5" spans="1:5" ht="21.75" thickBot="1">
      <c r="A5" s="88">
        <v>2</v>
      </c>
      <c r="B5" s="130">
        <v>243360.38</v>
      </c>
      <c r="C5" s="109">
        <v>42841</v>
      </c>
      <c r="D5" s="110" t="s">
        <v>57</v>
      </c>
      <c r="E5" s="104"/>
    </row>
    <row r="6" spans="1:5" ht="19.5" thickBot="1">
      <c r="A6" s="111">
        <v>3</v>
      </c>
      <c r="B6" s="112"/>
      <c r="C6" s="113"/>
      <c r="D6" s="114"/>
      <c r="E6" s="104"/>
    </row>
    <row r="7" spans="1:5" ht="19.5" thickBot="1">
      <c r="A7" s="88">
        <v>4</v>
      </c>
      <c r="B7" s="91"/>
      <c r="C7" s="109"/>
      <c r="D7" s="110"/>
      <c r="E7" s="104"/>
    </row>
    <row r="8" spans="1:5" ht="19.5" thickBot="1">
      <c r="A8" s="111">
        <v>5</v>
      </c>
      <c r="B8" s="112"/>
      <c r="C8" s="113"/>
      <c r="D8" s="114"/>
      <c r="E8" s="104"/>
    </row>
    <row r="9" spans="1:5" ht="19.5" thickBot="1">
      <c r="A9" s="88">
        <v>6</v>
      </c>
      <c r="B9" s="91"/>
      <c r="C9" s="109"/>
      <c r="D9" s="110"/>
      <c r="E9" s="104"/>
    </row>
    <row r="10" spans="1:5" ht="19.5" thickBot="1">
      <c r="A10" s="88">
        <v>7</v>
      </c>
      <c r="B10" s="91"/>
      <c r="C10" s="109"/>
      <c r="D10" s="110"/>
      <c r="E10" s="104"/>
    </row>
    <row r="11" spans="1:5" ht="19.5" thickBot="1">
      <c r="A11" s="88">
        <v>8</v>
      </c>
      <c r="B11" s="91"/>
      <c r="C11" s="109"/>
      <c r="D11" s="117"/>
      <c r="E11" s="118"/>
    </row>
    <row r="12" spans="1:5" ht="19.5" thickBot="1">
      <c r="A12" s="111">
        <v>9</v>
      </c>
      <c r="B12" s="112"/>
      <c r="C12" s="115"/>
      <c r="D12" s="114"/>
      <c r="E12" s="119"/>
    </row>
    <row r="13" spans="1:5" ht="19.5" thickBot="1">
      <c r="A13" s="88">
        <v>10</v>
      </c>
      <c r="B13" s="91"/>
      <c r="C13" s="116"/>
      <c r="D13" s="117"/>
      <c r="E13" s="118"/>
    </row>
    <row r="14" spans="1:5" ht="19.5" thickBot="1">
      <c r="A14" s="84">
        <v>11</v>
      </c>
      <c r="B14" s="87"/>
      <c r="C14" s="102"/>
      <c r="D14" s="87"/>
      <c r="E14" s="98"/>
    </row>
    <row r="15" spans="1:5" s="128" customFormat="1" ht="36" customHeight="1" thickBot="1">
      <c r="A15" s="427" t="s">
        <v>28</v>
      </c>
      <c r="B15" s="428"/>
      <c r="C15" s="429">
        <f>B4+B5</f>
        <v>26555630.829999998</v>
      </c>
      <c r="D15" s="430"/>
      <c r="E15" s="127"/>
    </row>
    <row r="16" spans="1:5" ht="15.75">
      <c r="A16" s="3"/>
      <c r="B16" s="3"/>
      <c r="C16" s="3"/>
      <c r="D16" s="3"/>
      <c r="E16" s="3"/>
    </row>
    <row r="17" spans="1:5" s="100" customFormat="1" ht="23.25">
      <c r="A17" s="99"/>
      <c r="B17" s="424"/>
      <c r="C17" s="424"/>
      <c r="D17" s="424"/>
      <c r="E17" s="424"/>
    </row>
    <row r="18" spans="1:5" s="4" customFormat="1" ht="15.75">
      <c r="A18" s="3"/>
      <c r="B18" s="3"/>
      <c r="C18" s="3"/>
      <c r="D18" s="3"/>
      <c r="E18" s="3"/>
    </row>
    <row r="19" spans="1:5" s="4" customFormat="1"/>
  </sheetData>
  <mergeCells count="3">
    <mergeCell ref="A15:B15"/>
    <mergeCell ref="C15:D15"/>
    <mergeCell ref="B17:E17"/>
  </mergeCells>
  <pageMargins left="0.79" right="0.7" top="0.51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B18" sqref="B18"/>
    </sheetView>
  </sheetViews>
  <sheetFormatPr baseColWidth="10" defaultRowHeight="15"/>
  <cols>
    <col min="1" max="1" width="9.140625" customWidth="1"/>
    <col min="2" max="2" width="25.5703125" customWidth="1"/>
    <col min="3" max="3" width="18.85546875" customWidth="1"/>
    <col min="4" max="4" width="22.140625" customWidth="1"/>
    <col min="5" max="5" width="41.7109375" customWidth="1"/>
    <col min="6" max="6" width="4.5703125" customWidth="1"/>
  </cols>
  <sheetData>
    <row r="1" spans="1:5" s="138" customFormat="1" ht="33" customHeight="1" thickBot="1">
      <c r="A1" s="432" t="s">
        <v>60</v>
      </c>
      <c r="B1" s="433"/>
      <c r="C1" s="433"/>
      <c r="D1" s="433"/>
      <c r="E1" s="434"/>
    </row>
    <row r="2" spans="1:5" s="64" customFormat="1" ht="29.25" customHeight="1" thickBot="1">
      <c r="A2" s="435" t="s">
        <v>81</v>
      </c>
      <c r="B2" s="436"/>
      <c r="C2" s="436"/>
      <c r="D2" s="436"/>
      <c r="E2" s="437"/>
    </row>
    <row r="3" spans="1:5" s="61" customFormat="1" ht="19.5" thickBot="1">
      <c r="A3" s="144" t="s">
        <v>0</v>
      </c>
      <c r="B3" s="74" t="s">
        <v>61</v>
      </c>
      <c r="C3" s="75" t="s">
        <v>2</v>
      </c>
      <c r="D3" s="74" t="s">
        <v>13</v>
      </c>
      <c r="E3" s="74" t="s">
        <v>62</v>
      </c>
    </row>
    <row r="4" spans="1:5" ht="19.5" thickBot="1">
      <c r="A4" s="150">
        <v>1</v>
      </c>
      <c r="B4" s="145" t="s">
        <v>75</v>
      </c>
      <c r="C4" s="168" t="s">
        <v>79</v>
      </c>
      <c r="D4" s="145">
        <v>102000</v>
      </c>
      <c r="E4" s="104" t="s">
        <v>78</v>
      </c>
    </row>
    <row r="5" spans="1:5" ht="19.5" thickBot="1">
      <c r="A5" s="151">
        <v>2</v>
      </c>
      <c r="B5" s="145" t="s">
        <v>76</v>
      </c>
      <c r="C5" s="169" t="s">
        <v>80</v>
      </c>
      <c r="D5" s="146">
        <v>134400</v>
      </c>
      <c r="E5" s="104" t="s">
        <v>78</v>
      </c>
    </row>
    <row r="6" spans="1:5" ht="19.5" thickBot="1">
      <c r="A6" s="152">
        <v>3</v>
      </c>
      <c r="B6" s="146" t="s">
        <v>63</v>
      </c>
      <c r="C6" s="157">
        <v>43151</v>
      </c>
      <c r="D6" s="147">
        <v>9884</v>
      </c>
      <c r="E6" s="104" t="s">
        <v>78</v>
      </c>
    </row>
    <row r="7" spans="1:5" ht="19.5" thickBot="1">
      <c r="A7" s="151">
        <v>4</v>
      </c>
      <c r="B7" s="147" t="s">
        <v>64</v>
      </c>
      <c r="C7" s="156">
        <v>43179</v>
      </c>
      <c r="D7" s="146">
        <v>9884</v>
      </c>
      <c r="E7" s="104" t="s">
        <v>78</v>
      </c>
    </row>
    <row r="8" spans="1:5" ht="19.5" thickBot="1">
      <c r="A8" s="152">
        <v>5</v>
      </c>
      <c r="B8" s="146" t="s">
        <v>65</v>
      </c>
      <c r="C8" s="157">
        <v>43210</v>
      </c>
      <c r="D8" s="147">
        <v>9884</v>
      </c>
      <c r="E8" s="104" t="s">
        <v>78</v>
      </c>
    </row>
    <row r="9" spans="1:5" ht="19.5" thickBot="1">
      <c r="A9" s="151">
        <v>6</v>
      </c>
      <c r="B9" s="147" t="s">
        <v>66</v>
      </c>
      <c r="C9" s="156">
        <v>43240</v>
      </c>
      <c r="D9" s="146">
        <v>10274</v>
      </c>
      <c r="E9" s="104" t="s">
        <v>78</v>
      </c>
    </row>
    <row r="10" spans="1:5" ht="19.5" thickBot="1">
      <c r="A10" s="151">
        <v>7</v>
      </c>
      <c r="B10" s="146" t="s">
        <v>67</v>
      </c>
      <c r="C10" s="156">
        <v>43271</v>
      </c>
      <c r="D10" s="146">
        <v>9194</v>
      </c>
      <c r="E10" s="104" t="s">
        <v>78</v>
      </c>
    </row>
    <row r="11" spans="1:5" ht="19.5" thickBot="1">
      <c r="A11" s="150">
        <v>8</v>
      </c>
      <c r="B11" s="165" t="s">
        <v>68</v>
      </c>
      <c r="C11" s="155">
        <v>43301</v>
      </c>
      <c r="D11" s="145">
        <v>9194</v>
      </c>
      <c r="E11" s="104" t="s">
        <v>78</v>
      </c>
    </row>
    <row r="12" spans="1:5" ht="19.5" thickBot="1">
      <c r="A12" s="170">
        <v>9</v>
      </c>
      <c r="B12" s="148" t="s">
        <v>69</v>
      </c>
      <c r="C12" s="167">
        <v>43332</v>
      </c>
      <c r="D12" s="148">
        <v>12020.79</v>
      </c>
      <c r="E12" s="104" t="s">
        <v>78</v>
      </c>
    </row>
    <row r="13" spans="1:5" ht="19.5" thickBot="1">
      <c r="A13" s="170">
        <v>10</v>
      </c>
      <c r="B13" s="148" t="s">
        <v>70</v>
      </c>
      <c r="C13" s="167">
        <v>43363</v>
      </c>
      <c r="D13" s="148">
        <v>9041</v>
      </c>
      <c r="E13" s="104" t="s">
        <v>78</v>
      </c>
    </row>
    <row r="14" spans="1:5" ht="19.5" thickBot="1">
      <c r="A14" s="170">
        <v>11</v>
      </c>
      <c r="B14" s="148" t="s">
        <v>71</v>
      </c>
      <c r="C14" s="167">
        <v>43393</v>
      </c>
      <c r="D14" s="148">
        <v>9041</v>
      </c>
      <c r="E14" s="104" t="s">
        <v>78</v>
      </c>
    </row>
    <row r="15" spans="1:5" ht="19.5" thickBot="1">
      <c r="A15" s="170">
        <v>12</v>
      </c>
      <c r="B15" s="148" t="s">
        <v>72</v>
      </c>
      <c r="C15" s="167">
        <v>43424</v>
      </c>
      <c r="D15" s="148">
        <v>11085</v>
      </c>
      <c r="E15" s="104" t="s">
        <v>78</v>
      </c>
    </row>
    <row r="16" spans="1:5" ht="18.75">
      <c r="A16" s="170">
        <v>13</v>
      </c>
      <c r="B16" s="148" t="s">
        <v>73</v>
      </c>
      <c r="C16" s="167">
        <v>43454</v>
      </c>
      <c r="D16" s="148">
        <v>27221</v>
      </c>
      <c r="E16" s="104" t="s">
        <v>78</v>
      </c>
    </row>
    <row r="17" spans="1:5" ht="21">
      <c r="A17" s="170">
        <v>14</v>
      </c>
      <c r="B17" s="148" t="s">
        <v>74</v>
      </c>
      <c r="C17" s="167">
        <v>43485</v>
      </c>
      <c r="D17" s="148">
        <v>14749928</v>
      </c>
      <c r="E17" s="166" t="s">
        <v>77</v>
      </c>
    </row>
    <row r="18" spans="1:5" ht="18.75">
      <c r="A18" s="170">
        <v>15</v>
      </c>
      <c r="B18" s="148"/>
      <c r="C18" s="158"/>
      <c r="D18" s="148"/>
      <c r="E18" s="142"/>
    </row>
    <row r="19" spans="1:5" ht="18.75">
      <c r="A19" s="170">
        <v>16</v>
      </c>
      <c r="B19" s="148"/>
      <c r="C19" s="158"/>
      <c r="D19" s="148"/>
      <c r="E19" s="142"/>
    </row>
    <row r="20" spans="1:5" ht="18.75">
      <c r="A20" s="170">
        <v>17</v>
      </c>
      <c r="B20" s="82"/>
      <c r="C20" s="158"/>
      <c r="D20" s="148"/>
      <c r="E20" s="142"/>
    </row>
    <row r="21" spans="1:5" ht="19.5" thickBot="1">
      <c r="A21" s="153">
        <v>18</v>
      </c>
      <c r="B21" s="163"/>
      <c r="C21" s="159"/>
      <c r="D21" s="149"/>
      <c r="E21" s="141"/>
    </row>
    <row r="22" spans="1:5" ht="19.5" thickBot="1">
      <c r="A22" s="154"/>
      <c r="B22" s="164"/>
      <c r="C22" s="160"/>
      <c r="D22" s="87"/>
      <c r="E22" s="143"/>
    </row>
    <row r="23" spans="1:5" s="128" customFormat="1" ht="36" customHeight="1" thickBot="1">
      <c r="A23" s="427" t="s">
        <v>28</v>
      </c>
      <c r="B23" s="428"/>
      <c r="C23" s="429">
        <f>D4+D5+D6+D7+D8+D9+D10+D11+D12+D13+D14+D15+D16+D17</f>
        <v>15113050.789999999</v>
      </c>
      <c r="D23" s="430"/>
      <c r="E23" s="127"/>
    </row>
    <row r="24" spans="1:5" ht="15.75">
      <c r="A24" s="3"/>
      <c r="B24" s="3"/>
      <c r="C24" s="3"/>
      <c r="D24" s="3"/>
      <c r="E24" s="3"/>
    </row>
    <row r="25" spans="1:5" s="100" customFormat="1" ht="23.25">
      <c r="A25" s="139"/>
      <c r="B25" s="431"/>
      <c r="C25" s="431"/>
      <c r="D25" s="431"/>
      <c r="E25" s="431"/>
    </row>
    <row r="26" spans="1:5" s="4" customFormat="1" ht="15.75">
      <c r="A26" s="3"/>
      <c r="B26" s="3"/>
      <c r="C26" s="3"/>
      <c r="D26" s="3"/>
      <c r="E26" s="3"/>
    </row>
    <row r="27" spans="1:5" s="4" customFormat="1"/>
  </sheetData>
  <mergeCells count="5">
    <mergeCell ref="A23:B23"/>
    <mergeCell ref="C23:D23"/>
    <mergeCell ref="B25:E25"/>
    <mergeCell ref="A1:E1"/>
    <mergeCell ref="A2:E2"/>
  </mergeCells>
  <pageMargins left="0.79" right="0.7" top="0.51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topLeftCell="A3" workbookViewId="0">
      <selection activeCell="I22" sqref="I22"/>
    </sheetView>
  </sheetViews>
  <sheetFormatPr baseColWidth="10" defaultRowHeight="15"/>
  <cols>
    <col min="1" max="1" width="6.85546875" customWidth="1"/>
    <col min="2" max="2" width="32.7109375" customWidth="1"/>
    <col min="3" max="3" width="18.85546875" customWidth="1"/>
    <col min="4" max="4" width="24.140625" customWidth="1"/>
    <col min="5" max="5" width="4.5703125" customWidth="1"/>
  </cols>
  <sheetData>
    <row r="1" spans="1:4" s="138" customFormat="1" ht="33" customHeight="1" thickBot="1">
      <c r="A1" s="432" t="s">
        <v>82</v>
      </c>
      <c r="B1" s="433"/>
      <c r="C1" s="433"/>
      <c r="D1" s="434"/>
    </row>
    <row r="2" spans="1:4" s="64" customFormat="1" ht="29.25" customHeight="1" thickBot="1">
      <c r="A2" s="435" t="s">
        <v>83</v>
      </c>
      <c r="B2" s="436"/>
      <c r="C2" s="436"/>
      <c r="D2" s="437"/>
    </row>
    <row r="3" spans="1:4" s="61" customFormat="1" ht="19.5" thickBot="1">
      <c r="A3" s="144" t="s">
        <v>0</v>
      </c>
      <c r="B3" s="74" t="s">
        <v>61</v>
      </c>
      <c r="C3" s="75" t="s">
        <v>2</v>
      </c>
      <c r="D3" s="74" t="s">
        <v>13</v>
      </c>
    </row>
    <row r="4" spans="1:4" ht="19.5" thickBot="1">
      <c r="A4" s="150">
        <v>1</v>
      </c>
      <c r="B4" s="270" t="s">
        <v>148</v>
      </c>
      <c r="C4" s="172">
        <v>42639</v>
      </c>
      <c r="D4" s="145">
        <v>97800</v>
      </c>
    </row>
    <row r="5" spans="1:4" ht="19.5" thickBot="1">
      <c r="A5" s="151">
        <v>2</v>
      </c>
      <c r="B5" s="270" t="s">
        <v>149</v>
      </c>
      <c r="C5" s="173">
        <v>42788</v>
      </c>
      <c r="D5" s="146">
        <v>32400</v>
      </c>
    </row>
    <row r="6" spans="1:4" ht="19.5" thickBot="1">
      <c r="A6" s="152">
        <v>3</v>
      </c>
      <c r="B6" s="271" t="s">
        <v>150</v>
      </c>
      <c r="C6" s="157">
        <v>43128</v>
      </c>
      <c r="D6" s="147">
        <v>62402</v>
      </c>
    </row>
    <row r="7" spans="1:4" ht="19.5" thickBot="1">
      <c r="A7" s="151">
        <v>4</v>
      </c>
      <c r="B7" s="272" t="s">
        <v>160</v>
      </c>
      <c r="C7" s="156">
        <v>42572</v>
      </c>
      <c r="D7" s="146">
        <v>85475.72</v>
      </c>
    </row>
    <row r="8" spans="1:4" ht="19.5" thickBot="1">
      <c r="A8" s="152">
        <v>5</v>
      </c>
      <c r="B8" s="271" t="s">
        <v>151</v>
      </c>
      <c r="C8" s="157">
        <v>42682</v>
      </c>
      <c r="D8" s="147">
        <v>15540</v>
      </c>
    </row>
    <row r="9" spans="1:4" ht="19.5" thickBot="1">
      <c r="A9" s="151">
        <v>6</v>
      </c>
      <c r="B9" s="272" t="s">
        <v>152</v>
      </c>
      <c r="C9" s="156">
        <v>42702</v>
      </c>
      <c r="D9" s="146">
        <v>47099.87</v>
      </c>
    </row>
    <row r="10" spans="1:4" ht="19.5" thickBot="1">
      <c r="A10" s="151">
        <v>7</v>
      </c>
      <c r="B10" s="271" t="s">
        <v>153</v>
      </c>
      <c r="C10" s="156">
        <v>42724</v>
      </c>
      <c r="D10" s="146">
        <v>56000</v>
      </c>
    </row>
    <row r="11" spans="1:4" ht="19.5" thickBot="1">
      <c r="A11" s="150">
        <v>8</v>
      </c>
      <c r="B11" s="270" t="s">
        <v>159</v>
      </c>
      <c r="C11" s="107">
        <v>42778</v>
      </c>
      <c r="D11" s="145">
        <v>81981</v>
      </c>
    </row>
    <row r="12" spans="1:4" ht="19.5" thickBot="1">
      <c r="A12" s="151">
        <v>9</v>
      </c>
      <c r="B12" s="271" t="s">
        <v>154</v>
      </c>
      <c r="C12" s="109">
        <v>42880</v>
      </c>
      <c r="D12" s="146">
        <v>151361</v>
      </c>
    </row>
    <row r="13" spans="1:4" ht="19.5" thickBot="1">
      <c r="A13" s="152">
        <v>10</v>
      </c>
      <c r="B13" s="272" t="s">
        <v>155</v>
      </c>
      <c r="C13" s="113">
        <v>42948</v>
      </c>
      <c r="D13" s="147">
        <v>161679</v>
      </c>
    </row>
    <row r="14" spans="1:4" ht="19.5" thickBot="1">
      <c r="A14" s="151">
        <v>11</v>
      </c>
      <c r="B14" s="271" t="s">
        <v>158</v>
      </c>
      <c r="C14" s="109">
        <v>43059</v>
      </c>
      <c r="D14" s="146">
        <v>162225</v>
      </c>
    </row>
    <row r="15" spans="1:4" ht="19.5" thickBot="1">
      <c r="A15" s="152">
        <v>12</v>
      </c>
      <c r="B15" s="272" t="s">
        <v>156</v>
      </c>
      <c r="C15" s="113">
        <v>43136</v>
      </c>
      <c r="D15" s="147">
        <v>171702.33</v>
      </c>
    </row>
    <row r="16" spans="1:4" ht="19.5" thickBot="1">
      <c r="A16" s="151">
        <v>13</v>
      </c>
      <c r="B16" s="271" t="s">
        <v>157</v>
      </c>
      <c r="C16" s="109">
        <v>43209</v>
      </c>
      <c r="D16" s="146">
        <v>279651</v>
      </c>
    </row>
    <row r="17" spans="1:4" ht="19.5" thickBot="1">
      <c r="A17" s="151">
        <v>14</v>
      </c>
      <c r="B17" s="271" t="s">
        <v>161</v>
      </c>
      <c r="C17" s="109">
        <v>43272</v>
      </c>
      <c r="D17" s="146">
        <v>86000</v>
      </c>
    </row>
    <row r="18" spans="1:4" ht="19.5" thickBot="1">
      <c r="A18" s="152">
        <v>15</v>
      </c>
      <c r="B18" s="272" t="s">
        <v>162</v>
      </c>
      <c r="C18" s="113">
        <v>43377</v>
      </c>
      <c r="D18" s="147">
        <v>244513.25</v>
      </c>
    </row>
    <row r="19" spans="1:4" ht="19.5" thickBot="1">
      <c r="A19" s="151">
        <v>16</v>
      </c>
      <c r="B19" s="271" t="s">
        <v>163</v>
      </c>
      <c r="C19" s="109">
        <v>43377</v>
      </c>
      <c r="D19" s="146">
        <v>230215.19</v>
      </c>
    </row>
    <row r="20" spans="1:4" ht="19.5" thickBot="1">
      <c r="A20" s="152">
        <v>17</v>
      </c>
      <c r="B20" s="272" t="s">
        <v>164</v>
      </c>
      <c r="C20" s="113">
        <v>43431</v>
      </c>
      <c r="D20" s="147">
        <v>104868.48</v>
      </c>
    </row>
    <row r="21" spans="1:4" ht="19.5" thickBot="1">
      <c r="A21" s="151">
        <v>18</v>
      </c>
      <c r="B21" s="271" t="s">
        <v>165</v>
      </c>
      <c r="C21" s="109">
        <v>43431</v>
      </c>
      <c r="D21" s="146">
        <v>118120.04</v>
      </c>
    </row>
    <row r="22" spans="1:4" ht="19.5" thickBot="1">
      <c r="A22" s="331">
        <v>19</v>
      </c>
      <c r="B22" s="272" t="s">
        <v>166</v>
      </c>
      <c r="C22" s="113">
        <v>43459</v>
      </c>
      <c r="D22" s="147">
        <v>122256.65</v>
      </c>
    </row>
    <row r="23" spans="1:4" ht="19.5" thickBot="1">
      <c r="A23" s="151">
        <v>20</v>
      </c>
      <c r="B23" s="271" t="s">
        <v>167</v>
      </c>
      <c r="C23" s="109">
        <v>43464</v>
      </c>
      <c r="D23" s="146">
        <v>115107.59</v>
      </c>
    </row>
    <row r="24" spans="1:4" ht="19.5" thickBot="1">
      <c r="A24" s="331">
        <v>21</v>
      </c>
      <c r="B24" s="272" t="s">
        <v>168</v>
      </c>
      <c r="C24" s="113">
        <v>43495</v>
      </c>
      <c r="D24" s="147">
        <v>144920.39000000001</v>
      </c>
    </row>
    <row r="25" spans="1:4" ht="19.5" thickBot="1">
      <c r="A25" s="151">
        <v>22</v>
      </c>
      <c r="B25" s="271" t="s">
        <v>169</v>
      </c>
      <c r="C25" s="116" t="s">
        <v>233</v>
      </c>
      <c r="D25" s="146">
        <v>152047.24</v>
      </c>
    </row>
    <row r="26" spans="1:4" ht="19.5" thickBot="1">
      <c r="A26" s="331">
        <v>23</v>
      </c>
      <c r="B26" s="272" t="s">
        <v>170</v>
      </c>
      <c r="C26" s="113">
        <v>43554</v>
      </c>
      <c r="D26" s="147">
        <v>177060</v>
      </c>
    </row>
    <row r="27" spans="1:4" ht="19.5" thickBot="1">
      <c r="A27" s="151">
        <v>24</v>
      </c>
      <c r="B27" s="271" t="s">
        <v>171</v>
      </c>
      <c r="C27" s="109">
        <v>43585</v>
      </c>
      <c r="D27" s="146">
        <v>184931.02</v>
      </c>
    </row>
    <row r="28" spans="1:4" ht="19.5" thickBot="1">
      <c r="A28" s="151">
        <v>25</v>
      </c>
      <c r="B28" s="271" t="s">
        <v>172</v>
      </c>
      <c r="C28" s="116" t="s">
        <v>239</v>
      </c>
      <c r="D28" s="146" t="s">
        <v>238</v>
      </c>
    </row>
    <row r="29" spans="1:4" ht="18.75">
      <c r="A29" s="331">
        <v>26</v>
      </c>
      <c r="B29" s="272"/>
      <c r="C29" s="115"/>
      <c r="D29" s="147"/>
    </row>
    <row r="30" spans="1:4" ht="19.5" thickBot="1">
      <c r="A30" s="269">
        <v>27</v>
      </c>
      <c r="B30" s="273"/>
      <c r="C30" s="102"/>
      <c r="D30" s="86"/>
    </row>
    <row r="31" spans="1:4" s="128" customFormat="1" ht="36" customHeight="1" thickBot="1">
      <c r="A31" s="438" t="s">
        <v>28</v>
      </c>
      <c r="B31" s="439"/>
      <c r="C31" s="429">
        <f>D4+D5+D6+D7+D8+D9+D10+D11+D12+D13+D14+D15+D16+D17+D18+D19+D20+D21+D22+D23+D24+D25+D26+D27</f>
        <v>3085356.77</v>
      </c>
      <c r="D31" s="430"/>
    </row>
    <row r="32" spans="1:4" ht="15.75">
      <c r="A32" s="3"/>
      <c r="B32" s="3"/>
      <c r="C32" s="3"/>
      <c r="D32" s="3"/>
    </row>
    <row r="33" spans="1:4" s="100" customFormat="1" ht="23.25">
      <c r="A33" s="139"/>
      <c r="B33" s="431"/>
      <c r="C33" s="431"/>
      <c r="D33" s="431"/>
    </row>
    <row r="34" spans="1:4" s="4" customFormat="1" ht="15.75">
      <c r="A34" s="3"/>
      <c r="B34" s="3"/>
      <c r="C34" s="3"/>
      <c r="D34" s="3"/>
    </row>
    <row r="35" spans="1:4" s="4" customFormat="1"/>
  </sheetData>
  <mergeCells count="5">
    <mergeCell ref="A1:D1"/>
    <mergeCell ref="A2:D2"/>
    <mergeCell ref="A31:B31"/>
    <mergeCell ref="C31:D31"/>
    <mergeCell ref="B33:D33"/>
  </mergeCells>
  <pageMargins left="0.49" right="0.35" top="0.51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8"/>
  <sheetViews>
    <sheetView topLeftCell="A7" workbookViewId="0">
      <selection activeCell="J27" sqref="J27"/>
    </sheetView>
  </sheetViews>
  <sheetFormatPr baseColWidth="10" defaultRowHeight="15"/>
  <cols>
    <col min="1" max="1" width="9.140625" customWidth="1"/>
    <col min="2" max="2" width="64.42578125" customWidth="1"/>
    <col min="3" max="3" width="18.85546875" customWidth="1"/>
    <col min="4" max="4" width="22.140625" customWidth="1"/>
    <col min="5" max="5" width="21" customWidth="1"/>
    <col min="6" max="6" width="4.5703125" customWidth="1"/>
  </cols>
  <sheetData>
    <row r="1" spans="1:5" s="138" customFormat="1" ht="33" customHeight="1" thickBot="1">
      <c r="A1" s="440" t="s">
        <v>84</v>
      </c>
      <c r="B1" s="441"/>
      <c r="C1" s="441"/>
      <c r="D1" s="441"/>
      <c r="E1" s="442"/>
    </row>
    <row r="2" spans="1:5" s="61" customFormat="1" ht="19.5" thickBot="1">
      <c r="A2" s="144" t="s">
        <v>0</v>
      </c>
      <c r="B2" s="74" t="s">
        <v>61</v>
      </c>
      <c r="C2" s="75" t="s">
        <v>2</v>
      </c>
      <c r="D2" s="74" t="s">
        <v>13</v>
      </c>
      <c r="E2" s="74" t="s">
        <v>62</v>
      </c>
    </row>
    <row r="3" spans="1:5" ht="19.5" thickBot="1">
      <c r="A3" s="150">
        <v>1</v>
      </c>
      <c r="B3" s="145" t="s">
        <v>96</v>
      </c>
      <c r="C3" s="172">
        <v>43561</v>
      </c>
      <c r="D3" s="312">
        <v>800000</v>
      </c>
      <c r="E3" s="104" t="s">
        <v>89</v>
      </c>
    </row>
    <row r="4" spans="1:5" ht="19.5" thickBot="1">
      <c r="A4" s="151">
        <v>2</v>
      </c>
      <c r="B4" s="145" t="s">
        <v>97</v>
      </c>
      <c r="C4" s="173">
        <v>43541</v>
      </c>
      <c r="D4" s="313">
        <v>700000</v>
      </c>
      <c r="E4" s="104" t="s">
        <v>89</v>
      </c>
    </row>
    <row r="5" spans="1:5" ht="19.5" thickBot="1">
      <c r="A5" s="152">
        <v>3</v>
      </c>
      <c r="B5" s="146" t="s">
        <v>85</v>
      </c>
      <c r="C5" s="157">
        <v>43500</v>
      </c>
      <c r="D5" s="161">
        <v>20000</v>
      </c>
      <c r="E5" s="104" t="s">
        <v>89</v>
      </c>
    </row>
    <row r="6" spans="1:5" ht="19.5" thickBot="1">
      <c r="A6" s="151">
        <v>4</v>
      </c>
      <c r="B6" s="147" t="s">
        <v>86</v>
      </c>
      <c r="C6" s="156">
        <v>43485</v>
      </c>
      <c r="D6" s="90">
        <v>1480000</v>
      </c>
      <c r="E6" s="104" t="s">
        <v>89</v>
      </c>
    </row>
    <row r="7" spans="1:5" ht="19.5" thickBot="1">
      <c r="A7" s="152">
        <v>5</v>
      </c>
      <c r="B7" s="145" t="s">
        <v>94</v>
      </c>
      <c r="C7" s="157">
        <v>43800</v>
      </c>
      <c r="D7" s="161">
        <v>1000000</v>
      </c>
      <c r="E7" s="104" t="s">
        <v>89</v>
      </c>
    </row>
    <row r="8" spans="1:5" ht="19.5" thickBot="1">
      <c r="A8" s="151"/>
      <c r="B8" s="146" t="s">
        <v>90</v>
      </c>
      <c r="C8" s="156">
        <v>43409</v>
      </c>
      <c r="D8" s="90">
        <v>3000000</v>
      </c>
      <c r="E8" s="118" t="s">
        <v>89</v>
      </c>
    </row>
    <row r="9" spans="1:5" ht="19.5" thickBot="1">
      <c r="A9" s="153">
        <v>6</v>
      </c>
      <c r="B9" s="147" t="s">
        <v>91</v>
      </c>
      <c r="C9" s="174">
        <v>43430</v>
      </c>
      <c r="D9" s="163">
        <v>12000000</v>
      </c>
      <c r="E9" s="171" t="s">
        <v>89</v>
      </c>
    </row>
    <row r="10" spans="1:5" ht="19.5" thickBot="1">
      <c r="A10" s="151">
        <v>7</v>
      </c>
      <c r="B10" s="146" t="s">
        <v>92</v>
      </c>
      <c r="C10" s="156">
        <v>43429</v>
      </c>
      <c r="D10" s="90">
        <v>100000000</v>
      </c>
      <c r="E10" s="104" t="s">
        <v>87</v>
      </c>
    </row>
    <row r="11" spans="1:5" ht="19.5" thickBot="1">
      <c r="A11" s="150">
        <v>8</v>
      </c>
      <c r="B11" s="147" t="s">
        <v>93</v>
      </c>
      <c r="C11" s="155">
        <v>43432</v>
      </c>
      <c r="D11" s="162">
        <v>40000000</v>
      </c>
      <c r="E11" s="104" t="s">
        <v>89</v>
      </c>
    </row>
    <row r="12" spans="1:5" ht="19.5" thickBot="1">
      <c r="A12" s="151">
        <v>9</v>
      </c>
      <c r="B12" s="146" t="s">
        <v>88</v>
      </c>
      <c r="C12" s="156">
        <v>43429</v>
      </c>
      <c r="D12" s="90">
        <v>14015000</v>
      </c>
      <c r="E12" s="104" t="s">
        <v>87</v>
      </c>
    </row>
    <row r="13" spans="1:5" ht="19.5" thickBot="1">
      <c r="A13" s="152">
        <v>10</v>
      </c>
      <c r="B13" s="145" t="s">
        <v>95</v>
      </c>
      <c r="C13" s="157">
        <v>43606</v>
      </c>
      <c r="D13" s="161">
        <v>2000000</v>
      </c>
      <c r="E13" s="104" t="s">
        <v>89</v>
      </c>
    </row>
    <row r="14" spans="1:5" ht="19.5" thickBot="1">
      <c r="A14" s="151">
        <v>11</v>
      </c>
      <c r="B14" s="145" t="s">
        <v>98</v>
      </c>
      <c r="C14" s="156">
        <v>43601</v>
      </c>
      <c r="D14" s="313">
        <v>200000</v>
      </c>
      <c r="E14" s="104" t="s">
        <v>89</v>
      </c>
    </row>
    <row r="15" spans="1:5" ht="19.5" thickBot="1">
      <c r="A15" s="151">
        <v>12</v>
      </c>
      <c r="B15" s="146" t="s">
        <v>99</v>
      </c>
      <c r="C15" s="156">
        <v>43607</v>
      </c>
      <c r="D15" s="313">
        <v>1000000</v>
      </c>
      <c r="E15" s="104" t="s">
        <v>89</v>
      </c>
    </row>
    <row r="16" spans="1:5" ht="19.5" thickBot="1">
      <c r="A16" s="152">
        <v>13</v>
      </c>
      <c r="B16" s="147" t="s">
        <v>100</v>
      </c>
      <c r="C16" s="157">
        <v>43570</v>
      </c>
      <c r="D16" s="161">
        <v>60000</v>
      </c>
      <c r="E16" s="104" t="s">
        <v>89</v>
      </c>
    </row>
    <row r="17" spans="1:5" ht="19.5" thickBot="1">
      <c r="A17" s="151">
        <v>14</v>
      </c>
      <c r="B17" s="146" t="s">
        <v>101</v>
      </c>
      <c r="C17" s="156">
        <v>43565</v>
      </c>
      <c r="D17" s="90">
        <v>100000</v>
      </c>
      <c r="E17" s="104" t="s">
        <v>89</v>
      </c>
    </row>
    <row r="18" spans="1:5" ht="19.5" thickBot="1">
      <c r="A18" s="152">
        <v>15</v>
      </c>
      <c r="B18" s="147" t="s">
        <v>102</v>
      </c>
      <c r="C18" s="157">
        <v>43564</v>
      </c>
      <c r="D18" s="161">
        <v>50000</v>
      </c>
      <c r="E18" s="104" t="s">
        <v>89</v>
      </c>
    </row>
    <row r="19" spans="1:5" ht="19.5" thickBot="1">
      <c r="A19" s="151">
        <v>16</v>
      </c>
      <c r="B19" s="146" t="s">
        <v>103</v>
      </c>
      <c r="C19" s="156">
        <v>43555</v>
      </c>
      <c r="D19" s="90">
        <v>300000</v>
      </c>
      <c r="E19" s="104" t="s">
        <v>89</v>
      </c>
    </row>
    <row r="20" spans="1:5" ht="19.5" thickBot="1">
      <c r="A20" s="152">
        <v>17</v>
      </c>
      <c r="B20" s="175" t="s">
        <v>104</v>
      </c>
      <c r="C20" s="107">
        <v>43507</v>
      </c>
      <c r="D20" s="161">
        <v>500000</v>
      </c>
      <c r="E20" s="104" t="s">
        <v>89</v>
      </c>
    </row>
    <row r="21" spans="1:5" ht="19.5" thickBot="1">
      <c r="A21" s="150">
        <v>18</v>
      </c>
      <c r="B21" s="146" t="s">
        <v>105</v>
      </c>
      <c r="C21" s="107">
        <v>43491</v>
      </c>
      <c r="D21" s="162">
        <v>500000</v>
      </c>
      <c r="E21" s="104" t="s">
        <v>89</v>
      </c>
    </row>
    <row r="22" spans="1:5" ht="19.5" thickBot="1">
      <c r="A22" s="105"/>
      <c r="B22" s="180" t="s">
        <v>106</v>
      </c>
      <c r="C22" s="109">
        <v>43451</v>
      </c>
      <c r="D22" s="90">
        <v>1900000</v>
      </c>
      <c r="E22" s="104" t="s">
        <v>89</v>
      </c>
    </row>
    <row r="23" spans="1:5" ht="19.5" thickBot="1">
      <c r="A23" s="88"/>
      <c r="B23" s="146" t="s">
        <v>107</v>
      </c>
      <c r="C23" s="113">
        <v>43217</v>
      </c>
      <c r="D23" s="161">
        <v>1000000</v>
      </c>
      <c r="E23" s="104" t="s">
        <v>89</v>
      </c>
    </row>
    <row r="24" spans="1:5" ht="19.5" thickBot="1">
      <c r="A24" s="111"/>
      <c r="B24" s="140" t="s">
        <v>108</v>
      </c>
      <c r="C24" s="109">
        <v>43218</v>
      </c>
      <c r="D24" s="90">
        <v>1580000</v>
      </c>
      <c r="E24" s="104" t="s">
        <v>89</v>
      </c>
    </row>
    <row r="25" spans="1:5" ht="19.5" thickBot="1">
      <c r="A25" s="88"/>
      <c r="B25" s="177" t="s">
        <v>109</v>
      </c>
      <c r="C25" s="113">
        <v>43217</v>
      </c>
      <c r="D25" s="161">
        <v>100000</v>
      </c>
      <c r="E25" s="104" t="s">
        <v>89</v>
      </c>
    </row>
    <row r="26" spans="1:5" ht="19.5" thickBot="1">
      <c r="A26" s="111"/>
      <c r="B26" s="140" t="s">
        <v>110</v>
      </c>
      <c r="C26" s="109">
        <v>43219</v>
      </c>
      <c r="D26" s="90">
        <v>800000</v>
      </c>
      <c r="E26" s="104" t="s">
        <v>89</v>
      </c>
    </row>
    <row r="27" spans="1:5" ht="19.5" thickBot="1">
      <c r="A27" s="88"/>
      <c r="B27" s="140" t="s">
        <v>111</v>
      </c>
      <c r="C27" s="113">
        <v>43596</v>
      </c>
      <c r="D27" s="161">
        <v>510000</v>
      </c>
      <c r="E27" s="104" t="s">
        <v>89</v>
      </c>
    </row>
    <row r="28" spans="1:5" ht="19.5" thickBot="1">
      <c r="A28" s="111"/>
      <c r="B28" s="140" t="s">
        <v>112</v>
      </c>
      <c r="C28" s="109">
        <v>43596</v>
      </c>
      <c r="D28" s="90">
        <v>170000</v>
      </c>
      <c r="E28" s="104" t="s">
        <v>89</v>
      </c>
    </row>
    <row r="29" spans="1:5" ht="19.5" thickBot="1">
      <c r="A29" s="111"/>
      <c r="B29" s="140" t="s">
        <v>113</v>
      </c>
      <c r="C29" s="109">
        <v>43596</v>
      </c>
      <c r="D29" s="90">
        <v>50000</v>
      </c>
      <c r="E29" s="104" t="s">
        <v>89</v>
      </c>
    </row>
    <row r="30" spans="1:5" ht="19.5" thickBot="1">
      <c r="A30" s="88"/>
      <c r="B30" s="176" t="s">
        <v>114</v>
      </c>
      <c r="C30" s="178">
        <v>43579</v>
      </c>
      <c r="D30" s="163">
        <v>90000</v>
      </c>
      <c r="E30" s="104" t="s">
        <v>89</v>
      </c>
    </row>
    <row r="31" spans="1:5" ht="19.5" thickBot="1">
      <c r="A31" s="88"/>
      <c r="B31" s="140"/>
      <c r="C31" s="179"/>
      <c r="D31" s="163"/>
      <c r="E31" s="104"/>
    </row>
    <row r="32" spans="1:5" ht="19.5" thickBot="1">
      <c r="A32" s="111"/>
      <c r="B32" s="140"/>
      <c r="C32" s="179"/>
      <c r="D32" s="163"/>
      <c r="E32" s="104"/>
    </row>
    <row r="33" spans="1:5" ht="19.5" thickBot="1">
      <c r="A33" s="88"/>
      <c r="B33" s="176"/>
      <c r="C33" s="178"/>
      <c r="D33" s="163"/>
      <c r="E33" s="104"/>
    </row>
    <row r="34" spans="1:5" s="128" customFormat="1" ht="36" customHeight="1" thickBot="1">
      <c r="A34" s="443" t="s">
        <v>28</v>
      </c>
      <c r="B34" s="428"/>
      <c r="C34" s="444">
        <f>D3+D4+D5+D6+D7+D8+D9+D10+D11+D12+D13+D14+D15+D16+D17+D18+D19+D20+D21+D22+D23+D24+D25+D26+D27+D28+D29+D30</f>
        <v>183925000</v>
      </c>
      <c r="D34" s="445"/>
      <c r="E34" s="127"/>
    </row>
    <row r="35" spans="1:5" ht="15.75">
      <c r="A35" s="3"/>
      <c r="B35" s="3"/>
      <c r="C35" s="3"/>
      <c r="D35" s="3"/>
      <c r="E35" s="3"/>
    </row>
    <row r="36" spans="1:5" s="100" customFormat="1" ht="23.25">
      <c r="A36" s="139"/>
      <c r="B36" s="431"/>
      <c r="C36" s="431"/>
      <c r="D36" s="431"/>
      <c r="E36" s="431"/>
    </row>
    <row r="37" spans="1:5" s="4" customFormat="1" ht="15.75">
      <c r="A37" s="3"/>
      <c r="B37" s="3"/>
      <c r="C37" s="3"/>
      <c r="D37" s="3"/>
      <c r="E37" s="3"/>
    </row>
    <row r="38" spans="1:5" s="4" customFormat="1"/>
  </sheetData>
  <mergeCells count="4">
    <mergeCell ref="A1:E1"/>
    <mergeCell ref="A34:B34"/>
    <mergeCell ref="C34:D34"/>
    <mergeCell ref="B36:E36"/>
  </mergeCells>
  <pageMargins left="0.43" right="0.34" top="0.28000000000000003" bottom="0.32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activeCell="M13" sqref="M13"/>
    </sheetView>
  </sheetViews>
  <sheetFormatPr baseColWidth="10" defaultRowHeight="15"/>
  <cols>
    <col min="1" max="1" width="6.7109375" customWidth="1"/>
    <col min="2" max="2" width="18.85546875" customWidth="1"/>
    <col min="3" max="4" width="17.42578125" customWidth="1"/>
    <col min="5" max="5" width="23.28515625" customWidth="1"/>
    <col min="6" max="6" width="15.85546875" customWidth="1"/>
    <col min="7" max="7" width="15.7109375" customWidth="1"/>
  </cols>
  <sheetData>
    <row r="1" spans="1:7" s="138" customFormat="1" ht="33" customHeight="1" thickBot="1">
      <c r="A1" s="446" t="s">
        <v>116</v>
      </c>
      <c r="B1" s="447"/>
      <c r="C1" s="447"/>
      <c r="D1" s="447"/>
      <c r="E1" s="447"/>
      <c r="F1" s="447"/>
      <c r="G1" s="448"/>
    </row>
    <row r="2" spans="1:7" s="61" customFormat="1" ht="19.5" thickBot="1">
      <c r="A2" s="74" t="s">
        <v>0</v>
      </c>
      <c r="B2" s="182" t="s">
        <v>13</v>
      </c>
      <c r="C2" s="74"/>
      <c r="D2" s="74"/>
      <c r="E2" s="75"/>
      <c r="F2" s="183"/>
      <c r="G2" s="181"/>
    </row>
    <row r="3" spans="1:7" s="304" customFormat="1" ht="15.75">
      <c r="A3" s="203">
        <v>1</v>
      </c>
      <c r="B3" s="251">
        <v>16650</v>
      </c>
      <c r="C3" s="204">
        <v>20000</v>
      </c>
      <c r="D3" s="251">
        <v>19800</v>
      </c>
      <c r="E3" s="204">
        <v>15000</v>
      </c>
      <c r="F3" s="342"/>
      <c r="G3" s="343"/>
    </row>
    <row r="4" spans="1:7" s="304" customFormat="1" ht="15.75">
      <c r="A4" s="205">
        <v>2</v>
      </c>
      <c r="B4" s="206">
        <v>54300</v>
      </c>
      <c r="C4" s="21">
        <v>112000</v>
      </c>
      <c r="D4" s="206">
        <v>45000</v>
      </c>
      <c r="E4" s="21">
        <v>9200</v>
      </c>
      <c r="F4" s="344"/>
      <c r="G4" s="207"/>
    </row>
    <row r="5" spans="1:7" s="304" customFormat="1" ht="15.75">
      <c r="A5" s="205">
        <v>3</v>
      </c>
      <c r="B5" s="206">
        <v>3700</v>
      </c>
      <c r="C5" s="21">
        <v>2100</v>
      </c>
      <c r="D5" s="206">
        <v>71400</v>
      </c>
      <c r="E5" s="21">
        <v>19900</v>
      </c>
      <c r="F5" s="344"/>
      <c r="G5" s="207"/>
    </row>
    <row r="6" spans="1:7" s="304" customFormat="1" ht="15.75">
      <c r="A6" s="205">
        <v>4</v>
      </c>
      <c r="B6" s="206">
        <v>268500</v>
      </c>
      <c r="C6" s="21">
        <v>56900</v>
      </c>
      <c r="D6" s="206">
        <v>6750</v>
      </c>
      <c r="E6" s="21">
        <v>13000</v>
      </c>
      <c r="F6" s="344"/>
      <c r="G6" s="207"/>
    </row>
    <row r="7" spans="1:7" s="304" customFormat="1" ht="16.5" thickBot="1">
      <c r="A7" s="205">
        <v>5</v>
      </c>
      <c r="B7" s="206">
        <v>3600</v>
      </c>
      <c r="C7" s="21">
        <v>25900</v>
      </c>
      <c r="D7" s="206">
        <v>56900</v>
      </c>
      <c r="E7" s="27">
        <v>43000</v>
      </c>
      <c r="F7" s="344"/>
      <c r="G7" s="207"/>
    </row>
    <row r="8" spans="1:7" s="304" customFormat="1" ht="16.5" thickBot="1">
      <c r="A8" s="205">
        <v>6</v>
      </c>
      <c r="B8" s="206">
        <v>2900</v>
      </c>
      <c r="C8" s="21">
        <v>75000</v>
      </c>
      <c r="D8" s="206">
        <v>113500</v>
      </c>
      <c r="E8" s="302"/>
      <c r="F8" s="344"/>
      <c r="G8" s="207"/>
    </row>
    <row r="9" spans="1:7" s="304" customFormat="1" ht="15.75">
      <c r="A9" s="205">
        <v>7</v>
      </c>
      <c r="B9" s="206">
        <v>1400</v>
      </c>
      <c r="C9" s="21">
        <v>117000</v>
      </c>
      <c r="D9" s="345">
        <v>270000</v>
      </c>
      <c r="E9" s="215"/>
      <c r="F9" s="344"/>
      <c r="G9" s="207"/>
    </row>
    <row r="10" spans="1:7" s="304" customFormat="1" ht="15.75">
      <c r="A10" s="205">
        <v>8</v>
      </c>
      <c r="B10" s="206">
        <v>7500</v>
      </c>
      <c r="C10" s="21">
        <v>18980</v>
      </c>
      <c r="D10" s="206">
        <v>32700</v>
      </c>
      <c r="E10" s="207"/>
      <c r="F10" s="344"/>
      <c r="G10" s="207"/>
    </row>
    <row r="11" spans="1:7" s="304" customFormat="1" ht="15.75">
      <c r="A11" s="205">
        <v>9</v>
      </c>
      <c r="B11" s="206">
        <v>29340</v>
      </c>
      <c r="C11" s="21">
        <v>34500</v>
      </c>
      <c r="D11" s="206">
        <v>31000</v>
      </c>
      <c r="E11" s="207"/>
      <c r="F11" s="344"/>
      <c r="G11" s="207"/>
    </row>
    <row r="12" spans="1:7" s="304" customFormat="1" ht="15.75">
      <c r="A12" s="205">
        <v>10</v>
      </c>
      <c r="B12" s="206">
        <v>1100</v>
      </c>
      <c r="C12" s="21">
        <v>57000</v>
      </c>
      <c r="D12" s="206">
        <v>19000</v>
      </c>
      <c r="E12" s="207"/>
      <c r="F12" s="344"/>
      <c r="G12" s="207"/>
    </row>
    <row r="13" spans="1:7" s="304" customFormat="1" ht="15.75">
      <c r="A13" s="205">
        <v>11</v>
      </c>
      <c r="B13" s="206">
        <v>1343000</v>
      </c>
      <c r="C13" s="21">
        <v>72700</v>
      </c>
      <c r="D13" s="206">
        <v>213500</v>
      </c>
      <c r="E13" s="207"/>
      <c r="F13" s="344"/>
      <c r="G13" s="207"/>
    </row>
    <row r="14" spans="1:7" s="304" customFormat="1" ht="15.75">
      <c r="A14" s="205">
        <v>12</v>
      </c>
      <c r="B14" s="206">
        <v>1560</v>
      </c>
      <c r="C14" s="21">
        <v>13700</v>
      </c>
      <c r="D14" s="206">
        <v>93000</v>
      </c>
      <c r="E14" s="207"/>
      <c r="F14" s="344"/>
      <c r="G14" s="207"/>
    </row>
    <row r="15" spans="1:7" s="304" customFormat="1" ht="15.75">
      <c r="A15" s="205">
        <v>13</v>
      </c>
      <c r="B15" s="206">
        <v>9000</v>
      </c>
      <c r="C15" s="21">
        <v>33900</v>
      </c>
      <c r="D15" s="206">
        <v>4000</v>
      </c>
      <c r="E15" s="207"/>
      <c r="F15" s="344"/>
      <c r="G15" s="207"/>
    </row>
    <row r="16" spans="1:7" s="304" customFormat="1" ht="15.75">
      <c r="A16" s="205">
        <v>14</v>
      </c>
      <c r="B16" s="206">
        <v>552500</v>
      </c>
      <c r="C16" s="21">
        <v>168100</v>
      </c>
      <c r="D16" s="206">
        <v>45000</v>
      </c>
      <c r="E16" s="207"/>
      <c r="F16" s="344"/>
      <c r="G16" s="207"/>
    </row>
    <row r="17" spans="1:7" s="304" customFormat="1" ht="15.75">
      <c r="A17" s="205">
        <v>15</v>
      </c>
      <c r="B17" s="206">
        <v>558500</v>
      </c>
      <c r="C17" s="21">
        <v>205000</v>
      </c>
      <c r="D17" s="206">
        <v>42000</v>
      </c>
      <c r="E17" s="207"/>
      <c r="F17" s="344"/>
      <c r="G17" s="207"/>
    </row>
    <row r="18" spans="1:7" s="304" customFormat="1" ht="15.75">
      <c r="A18" s="205">
        <v>16</v>
      </c>
      <c r="B18" s="206">
        <v>510000</v>
      </c>
      <c r="C18" s="21">
        <v>228000</v>
      </c>
      <c r="D18" s="206">
        <v>5900</v>
      </c>
      <c r="E18" s="207"/>
      <c r="F18" s="344"/>
      <c r="G18" s="207"/>
    </row>
    <row r="19" spans="1:7" s="304" customFormat="1" ht="15.75">
      <c r="A19" s="205">
        <v>17</v>
      </c>
      <c r="B19" s="206">
        <v>165500</v>
      </c>
      <c r="C19" s="21">
        <v>9000</v>
      </c>
      <c r="D19" s="206">
        <v>20400</v>
      </c>
      <c r="E19" s="207"/>
      <c r="F19" s="344"/>
      <c r="G19" s="207"/>
    </row>
    <row r="20" spans="1:7" s="304" customFormat="1" ht="15.75">
      <c r="A20" s="205">
        <v>18</v>
      </c>
      <c r="B20" s="206">
        <v>1000</v>
      </c>
      <c r="C20" s="21">
        <v>6700000</v>
      </c>
      <c r="D20" s="206">
        <v>2700</v>
      </c>
      <c r="E20" s="207"/>
      <c r="F20" s="344"/>
      <c r="G20" s="207"/>
    </row>
    <row r="21" spans="1:7" s="304" customFormat="1" ht="15.75">
      <c r="A21" s="205">
        <v>19</v>
      </c>
      <c r="B21" s="206">
        <v>159850</v>
      </c>
      <c r="C21" s="21">
        <v>175000</v>
      </c>
      <c r="D21" s="206">
        <v>27400</v>
      </c>
      <c r="E21" s="207"/>
      <c r="F21" s="344"/>
      <c r="G21" s="207"/>
    </row>
    <row r="22" spans="1:7" s="304" customFormat="1" ht="15.75">
      <c r="A22" s="205">
        <v>20</v>
      </c>
      <c r="B22" s="206">
        <v>14000</v>
      </c>
      <c r="C22" s="21">
        <v>503000</v>
      </c>
      <c r="D22" s="206">
        <v>2200</v>
      </c>
      <c r="E22" s="207"/>
      <c r="F22" s="344"/>
      <c r="G22" s="207"/>
    </row>
    <row r="23" spans="1:7" s="304" customFormat="1" ht="15.75">
      <c r="A23" s="205">
        <v>21</v>
      </c>
      <c r="B23" s="206">
        <v>159000</v>
      </c>
      <c r="C23" s="21">
        <v>133000</v>
      </c>
      <c r="D23" s="206">
        <v>650000</v>
      </c>
      <c r="E23" s="207"/>
      <c r="F23" s="344"/>
      <c r="G23" s="207"/>
    </row>
    <row r="24" spans="1:7" s="304" customFormat="1" ht="15.75">
      <c r="A24" s="205">
        <v>22</v>
      </c>
      <c r="B24" s="206">
        <v>25000</v>
      </c>
      <c r="C24" s="21">
        <v>147000</v>
      </c>
      <c r="D24" s="206">
        <v>40000</v>
      </c>
      <c r="E24" s="207"/>
      <c r="F24" s="344"/>
      <c r="G24" s="207"/>
    </row>
    <row r="25" spans="1:7" s="304" customFormat="1" ht="15.75">
      <c r="A25" s="205">
        <v>23</v>
      </c>
      <c r="B25" s="206">
        <v>1950</v>
      </c>
      <c r="C25" s="21">
        <v>27000</v>
      </c>
      <c r="D25" s="206">
        <v>4700</v>
      </c>
      <c r="E25" s="207"/>
      <c r="F25" s="344"/>
      <c r="G25" s="207"/>
    </row>
    <row r="26" spans="1:7" s="304" customFormat="1" ht="15.75">
      <c r="A26" s="205">
        <v>24</v>
      </c>
      <c r="B26" s="206">
        <v>9500</v>
      </c>
      <c r="C26" s="21">
        <v>12300</v>
      </c>
      <c r="D26" s="206">
        <v>2600</v>
      </c>
      <c r="E26" s="207"/>
      <c r="F26" s="344"/>
      <c r="G26" s="207"/>
    </row>
    <row r="27" spans="1:7" s="304" customFormat="1" ht="15.75">
      <c r="A27" s="205">
        <v>25</v>
      </c>
      <c r="B27" s="206">
        <v>7400</v>
      </c>
      <c r="C27" s="21">
        <v>23200</v>
      </c>
      <c r="D27" s="206">
        <v>42600</v>
      </c>
      <c r="E27" s="207"/>
      <c r="F27" s="344"/>
      <c r="G27" s="207"/>
    </row>
    <row r="28" spans="1:7" s="304" customFormat="1" ht="15.75">
      <c r="A28" s="205">
        <v>26</v>
      </c>
      <c r="B28" s="206">
        <v>3000</v>
      </c>
      <c r="C28" s="21">
        <v>488500</v>
      </c>
      <c r="D28" s="206">
        <v>4000</v>
      </c>
      <c r="E28" s="207"/>
      <c r="F28" s="344"/>
      <c r="G28" s="207"/>
    </row>
    <row r="29" spans="1:7" s="304" customFormat="1" ht="15.75">
      <c r="A29" s="205">
        <v>27</v>
      </c>
      <c r="B29" s="206">
        <v>240</v>
      </c>
      <c r="C29" s="21">
        <v>278000</v>
      </c>
      <c r="D29" s="206">
        <v>228000</v>
      </c>
      <c r="E29" s="207"/>
      <c r="F29" s="344"/>
      <c r="G29" s="207"/>
    </row>
    <row r="30" spans="1:7" s="304" customFormat="1" ht="15.75">
      <c r="A30" s="205">
        <v>28</v>
      </c>
      <c r="B30" s="206">
        <v>4400</v>
      </c>
      <c r="C30" s="21">
        <v>198000</v>
      </c>
      <c r="D30" s="206">
        <v>6800</v>
      </c>
      <c r="E30" s="207"/>
      <c r="F30" s="344"/>
      <c r="G30" s="207"/>
    </row>
    <row r="31" spans="1:7" s="304" customFormat="1" ht="15.75">
      <c r="A31" s="205">
        <v>29</v>
      </c>
      <c r="B31" s="206">
        <v>6800</v>
      </c>
      <c r="C31" s="21">
        <v>67400</v>
      </c>
      <c r="D31" s="206">
        <v>27500</v>
      </c>
      <c r="E31" s="207"/>
      <c r="F31" s="344"/>
      <c r="G31" s="207"/>
    </row>
    <row r="32" spans="1:7" s="304" customFormat="1" ht="16.5" thickBot="1">
      <c r="A32" s="205">
        <v>30</v>
      </c>
      <c r="B32" s="206">
        <v>3400</v>
      </c>
      <c r="C32" s="21">
        <v>6400</v>
      </c>
      <c r="D32" s="209">
        <v>19900</v>
      </c>
      <c r="E32" s="207"/>
      <c r="F32" s="344"/>
      <c r="G32" s="207"/>
    </row>
    <row r="33" spans="1:7" s="304" customFormat="1" ht="16.5" thickBot="1">
      <c r="A33" s="208">
        <v>31</v>
      </c>
      <c r="B33" s="209">
        <v>3900</v>
      </c>
      <c r="C33" s="346">
        <v>46600</v>
      </c>
      <c r="D33" s="347">
        <v>13000</v>
      </c>
      <c r="E33" s="348"/>
      <c r="F33" s="349"/>
      <c r="G33" s="210"/>
    </row>
    <row r="34" spans="1:7" s="304" customFormat="1" ht="25.5" thickBot="1">
      <c r="A34" s="350"/>
      <c r="B34" s="351"/>
      <c r="C34" s="350"/>
      <c r="D34" s="352" t="s">
        <v>28</v>
      </c>
      <c r="E34" s="353">
        <f>B3+B4+B5+B6+B7+B8+B9+B10+B11+B12+B13+B14+B15+B16+B17+B18+B19+B20+B21+B22+B23+B24+B25+B26+B27+B28+B29+B30+B31+B32+B33+C3+C4+C5+C6+C7+C8+C9+C10+C11+C12+C13+C14+C15+C16+C17+C18+C19+C20+C21+C22+C23+C24+C25+C26+C27+C28+C29+C30+C31+C32+C33+D3+D4+D5+D6+D7+D8+D9+D10+D11+D12+D13+D14+D15+D16+D17+D18+D19+D20+D21+D22+D23+D24+D25+D26+D27+D28+D29+D30+D31+D32+D33+E3+E4+E5+E6+E7</f>
        <v>16245020</v>
      </c>
      <c r="F34" s="350"/>
      <c r="G34" s="354"/>
    </row>
  </sheetData>
  <mergeCells count="1">
    <mergeCell ref="A1:G1"/>
  </mergeCells>
  <pageMargins left="0.43" right="0.34" top="0.19" bottom="0.26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5"/>
  <sheetViews>
    <sheetView topLeftCell="A22" workbookViewId="0">
      <selection activeCell="G44" sqref="G44"/>
    </sheetView>
  </sheetViews>
  <sheetFormatPr baseColWidth="10" defaultRowHeight="15"/>
  <cols>
    <col min="1" max="1" width="6.7109375" customWidth="1"/>
    <col min="2" max="2" width="18.85546875" customWidth="1"/>
    <col min="3" max="4" width="17.42578125" customWidth="1"/>
    <col min="5" max="5" width="21.85546875" customWidth="1"/>
    <col min="6" max="6" width="15.85546875" customWidth="1"/>
    <col min="7" max="7" width="15.7109375" customWidth="1"/>
  </cols>
  <sheetData>
    <row r="1" spans="1:7" s="138" customFormat="1" ht="33" customHeight="1" thickBot="1">
      <c r="A1" s="446" t="s">
        <v>115</v>
      </c>
      <c r="B1" s="447"/>
      <c r="C1" s="447"/>
      <c r="D1" s="447"/>
      <c r="E1" s="447"/>
      <c r="F1" s="447"/>
      <c r="G1" s="448"/>
    </row>
    <row r="2" spans="1:7" s="61" customFormat="1" ht="19.5" thickBot="1">
      <c r="A2" s="200" t="s">
        <v>0</v>
      </c>
      <c r="B2" s="355" t="s">
        <v>13</v>
      </c>
      <c r="C2" s="200"/>
      <c r="D2" s="200"/>
      <c r="E2" s="356"/>
      <c r="F2" s="339"/>
      <c r="G2" s="200"/>
    </row>
    <row r="3" spans="1:7" ht="15.75">
      <c r="A3" s="203">
        <v>1</v>
      </c>
      <c r="B3" s="251">
        <v>3500</v>
      </c>
      <c r="C3" s="204">
        <v>9400</v>
      </c>
      <c r="D3" s="251">
        <v>29700</v>
      </c>
      <c r="E3" s="343"/>
      <c r="F3" s="342"/>
      <c r="G3" s="343"/>
    </row>
    <row r="4" spans="1:7" ht="15.75">
      <c r="A4" s="205">
        <v>2</v>
      </c>
      <c r="B4" s="206">
        <v>25600</v>
      </c>
      <c r="C4" s="21">
        <v>800</v>
      </c>
      <c r="D4" s="206">
        <v>15000</v>
      </c>
      <c r="E4" s="207"/>
      <c r="F4" s="344"/>
      <c r="G4" s="207"/>
    </row>
    <row r="5" spans="1:7" ht="15.75">
      <c r="A5" s="205">
        <v>3</v>
      </c>
      <c r="B5" s="206">
        <v>80000</v>
      </c>
      <c r="C5" s="21">
        <v>15200</v>
      </c>
      <c r="D5" s="206">
        <v>11200</v>
      </c>
      <c r="E5" s="207"/>
      <c r="F5" s="344"/>
      <c r="G5" s="207"/>
    </row>
    <row r="6" spans="1:7" ht="15.75">
      <c r="A6" s="205">
        <v>4</v>
      </c>
      <c r="B6" s="206">
        <v>16800</v>
      </c>
      <c r="C6" s="21">
        <v>29700</v>
      </c>
      <c r="D6" s="206">
        <v>3900</v>
      </c>
      <c r="E6" s="207"/>
      <c r="F6" s="344"/>
      <c r="G6" s="207"/>
    </row>
    <row r="7" spans="1:7" ht="15.75">
      <c r="A7" s="205">
        <v>5</v>
      </c>
      <c r="B7" s="206">
        <v>43600</v>
      </c>
      <c r="C7" s="21">
        <v>23250</v>
      </c>
      <c r="D7" s="206">
        <v>16400</v>
      </c>
      <c r="E7" s="207"/>
      <c r="F7" s="344"/>
      <c r="G7" s="207"/>
    </row>
    <row r="8" spans="1:7" ht="15.75">
      <c r="A8" s="205">
        <v>6</v>
      </c>
      <c r="B8" s="206">
        <v>4500</v>
      </c>
      <c r="C8" s="21">
        <v>43000</v>
      </c>
      <c r="D8" s="206">
        <v>894600</v>
      </c>
      <c r="E8" s="207"/>
      <c r="F8" s="344"/>
      <c r="G8" s="207"/>
    </row>
    <row r="9" spans="1:7" ht="15.75">
      <c r="A9" s="205">
        <v>7</v>
      </c>
      <c r="B9" s="206">
        <v>35600</v>
      </c>
      <c r="C9" s="21">
        <v>601300</v>
      </c>
      <c r="D9" s="345">
        <v>11000</v>
      </c>
      <c r="E9" s="207"/>
      <c r="F9" s="344"/>
      <c r="G9" s="207"/>
    </row>
    <row r="10" spans="1:7" ht="15.75">
      <c r="A10" s="205">
        <v>8</v>
      </c>
      <c r="B10" s="206">
        <v>116000</v>
      </c>
      <c r="C10" s="21">
        <v>872500</v>
      </c>
      <c r="D10" s="206">
        <v>100000</v>
      </c>
      <c r="E10" s="207"/>
      <c r="F10" s="344"/>
      <c r="G10" s="207"/>
    </row>
    <row r="11" spans="1:7" ht="15.75">
      <c r="A11" s="205">
        <v>9</v>
      </c>
      <c r="B11" s="206">
        <v>10000</v>
      </c>
      <c r="C11" s="21">
        <v>25500</v>
      </c>
      <c r="D11" s="206">
        <v>71750</v>
      </c>
      <c r="E11" s="207"/>
      <c r="F11" s="344"/>
      <c r="G11" s="207"/>
    </row>
    <row r="12" spans="1:7" ht="15.75">
      <c r="A12" s="205">
        <v>10</v>
      </c>
      <c r="B12" s="206">
        <v>480</v>
      </c>
      <c r="C12" s="21">
        <v>194550</v>
      </c>
      <c r="D12" s="206">
        <v>110000</v>
      </c>
      <c r="E12" s="207"/>
      <c r="F12" s="344"/>
      <c r="G12" s="207"/>
    </row>
    <row r="13" spans="1:7" ht="15.75">
      <c r="A13" s="205">
        <v>11</v>
      </c>
      <c r="B13" s="206">
        <v>19700</v>
      </c>
      <c r="C13" s="21">
        <v>97600</v>
      </c>
      <c r="D13" s="206">
        <v>2250</v>
      </c>
      <c r="E13" s="207"/>
      <c r="F13" s="344"/>
      <c r="G13" s="207"/>
    </row>
    <row r="14" spans="1:7" ht="15.75">
      <c r="A14" s="205">
        <v>12</v>
      </c>
      <c r="B14" s="206">
        <v>23000</v>
      </c>
      <c r="C14" s="21">
        <v>6700</v>
      </c>
      <c r="D14" s="206">
        <v>10700</v>
      </c>
      <c r="E14" s="207"/>
      <c r="F14" s="344"/>
      <c r="G14" s="207"/>
    </row>
    <row r="15" spans="1:7" ht="15.75">
      <c r="A15" s="205">
        <v>13</v>
      </c>
      <c r="B15" s="206">
        <v>7000</v>
      </c>
      <c r="C15" s="21">
        <v>53000</v>
      </c>
      <c r="D15" s="206">
        <v>21750</v>
      </c>
      <c r="E15" s="207"/>
      <c r="F15" s="344"/>
      <c r="G15" s="207"/>
    </row>
    <row r="16" spans="1:7" ht="15.75">
      <c r="A16" s="205">
        <v>14</v>
      </c>
      <c r="B16" s="206">
        <v>11500</v>
      </c>
      <c r="C16" s="21">
        <v>66000</v>
      </c>
      <c r="D16" s="206">
        <v>54400</v>
      </c>
      <c r="E16" s="207"/>
      <c r="F16" s="344"/>
      <c r="G16" s="207"/>
    </row>
    <row r="17" spans="1:7" ht="15.75">
      <c r="A17" s="205">
        <v>15</v>
      </c>
      <c r="B17" s="206">
        <v>63400</v>
      </c>
      <c r="C17" s="21">
        <v>7000</v>
      </c>
      <c r="D17" s="206">
        <v>28200</v>
      </c>
      <c r="E17" s="207"/>
      <c r="F17" s="344"/>
      <c r="G17" s="207"/>
    </row>
    <row r="18" spans="1:7" ht="15.75">
      <c r="A18" s="205">
        <v>16</v>
      </c>
      <c r="B18" s="206">
        <v>6000</v>
      </c>
      <c r="C18" s="21">
        <v>16600</v>
      </c>
      <c r="D18" s="206">
        <v>12300</v>
      </c>
      <c r="E18" s="207"/>
      <c r="F18" s="344"/>
      <c r="G18" s="207"/>
    </row>
    <row r="19" spans="1:7" ht="15.75">
      <c r="A19" s="205">
        <v>17</v>
      </c>
      <c r="B19" s="206">
        <v>2500</v>
      </c>
      <c r="C19" s="21">
        <v>43000</v>
      </c>
      <c r="D19" s="206">
        <v>5500</v>
      </c>
      <c r="E19" s="207"/>
      <c r="F19" s="344"/>
      <c r="G19" s="207"/>
    </row>
    <row r="20" spans="1:7" ht="15.75">
      <c r="A20" s="205">
        <v>18</v>
      </c>
      <c r="B20" s="206">
        <v>7000</v>
      </c>
      <c r="C20" s="21">
        <v>8200</v>
      </c>
      <c r="D20" s="206">
        <v>7800</v>
      </c>
      <c r="E20" s="207"/>
      <c r="F20" s="344"/>
      <c r="G20" s="207"/>
    </row>
    <row r="21" spans="1:7" ht="15.75">
      <c r="A21" s="205">
        <v>19</v>
      </c>
      <c r="B21" s="206">
        <v>4000</v>
      </c>
      <c r="C21" s="21">
        <v>41100</v>
      </c>
      <c r="D21" s="206">
        <v>2640</v>
      </c>
      <c r="E21" s="207"/>
      <c r="F21" s="344"/>
      <c r="G21" s="207"/>
    </row>
    <row r="22" spans="1:7" ht="15.75">
      <c r="A22" s="205">
        <v>20</v>
      </c>
      <c r="B22" s="206">
        <v>40700</v>
      </c>
      <c r="C22" s="21">
        <v>2010000</v>
      </c>
      <c r="D22" s="206">
        <v>10700</v>
      </c>
      <c r="E22" s="207"/>
      <c r="F22" s="344"/>
      <c r="G22" s="207"/>
    </row>
    <row r="23" spans="1:7" ht="15.75">
      <c r="A23" s="205">
        <v>21</v>
      </c>
      <c r="B23" s="206">
        <v>12300</v>
      </c>
      <c r="C23" s="21">
        <v>19380</v>
      </c>
      <c r="D23" s="206">
        <v>5280</v>
      </c>
      <c r="E23" s="207"/>
      <c r="F23" s="344"/>
      <c r="G23" s="207"/>
    </row>
    <row r="24" spans="1:7" ht="15.75">
      <c r="A24" s="205">
        <v>22</v>
      </c>
      <c r="B24" s="206">
        <v>9500</v>
      </c>
      <c r="C24" s="21">
        <v>3000</v>
      </c>
      <c r="D24" s="206">
        <v>10000</v>
      </c>
      <c r="E24" s="207"/>
      <c r="F24" s="344"/>
      <c r="G24" s="207"/>
    </row>
    <row r="25" spans="1:7" ht="15.75">
      <c r="A25" s="205">
        <v>23</v>
      </c>
      <c r="B25" s="206">
        <v>129600</v>
      </c>
      <c r="C25" s="21">
        <v>9600</v>
      </c>
      <c r="D25" s="206">
        <v>12300</v>
      </c>
      <c r="E25" s="207"/>
      <c r="F25" s="344"/>
      <c r="G25" s="207"/>
    </row>
    <row r="26" spans="1:7" ht="15.75">
      <c r="A26" s="205">
        <v>24</v>
      </c>
      <c r="B26" s="206">
        <v>4400</v>
      </c>
      <c r="C26" s="21">
        <v>1480</v>
      </c>
      <c r="D26" s="206">
        <v>2250</v>
      </c>
      <c r="E26" s="207"/>
      <c r="F26" s="344"/>
      <c r="G26" s="207"/>
    </row>
    <row r="27" spans="1:7" ht="15.75">
      <c r="A27" s="205">
        <v>25</v>
      </c>
      <c r="B27" s="206">
        <v>1600</v>
      </c>
      <c r="C27" s="21">
        <v>229000</v>
      </c>
      <c r="D27" s="206">
        <v>4200</v>
      </c>
      <c r="E27" s="207"/>
      <c r="F27" s="344"/>
      <c r="G27" s="207"/>
    </row>
    <row r="28" spans="1:7" ht="15.75">
      <c r="A28" s="205">
        <v>26</v>
      </c>
      <c r="B28" s="206">
        <v>56500</v>
      </c>
      <c r="C28" s="21">
        <v>4300</v>
      </c>
      <c r="D28" s="206">
        <v>4600</v>
      </c>
      <c r="E28" s="207"/>
      <c r="F28" s="344"/>
      <c r="G28" s="207"/>
    </row>
    <row r="29" spans="1:7" ht="15.75">
      <c r="A29" s="205">
        <v>27</v>
      </c>
      <c r="B29" s="206">
        <v>4000</v>
      </c>
      <c r="C29" s="21">
        <v>27000</v>
      </c>
      <c r="D29" s="206">
        <v>2000</v>
      </c>
      <c r="E29" s="207"/>
      <c r="F29" s="344"/>
      <c r="G29" s="207"/>
    </row>
    <row r="30" spans="1:7" ht="16.5" thickBot="1">
      <c r="A30" s="205">
        <v>28</v>
      </c>
      <c r="B30" s="206">
        <v>152500</v>
      </c>
      <c r="C30" s="21">
        <v>11600</v>
      </c>
      <c r="D30" s="209">
        <v>3000</v>
      </c>
      <c r="E30" s="207"/>
      <c r="F30" s="344"/>
      <c r="G30" s="207"/>
    </row>
    <row r="31" spans="1:7" ht="16.5" thickBot="1">
      <c r="A31" s="205">
        <v>29</v>
      </c>
      <c r="B31" s="206">
        <v>6400</v>
      </c>
      <c r="C31" s="21">
        <v>36400</v>
      </c>
      <c r="D31" s="302"/>
      <c r="E31" s="207"/>
      <c r="F31" s="344"/>
      <c r="G31" s="207"/>
    </row>
    <row r="32" spans="1:7" ht="15.75">
      <c r="A32" s="205">
        <v>30</v>
      </c>
      <c r="B32" s="206">
        <v>78800</v>
      </c>
      <c r="C32" s="357">
        <v>13700</v>
      </c>
      <c r="D32" s="343"/>
      <c r="E32" s="232"/>
      <c r="F32" s="344"/>
      <c r="G32" s="207"/>
    </row>
    <row r="33" spans="1:7" ht="16.5" thickBot="1">
      <c r="A33" s="208">
        <v>31</v>
      </c>
      <c r="B33" s="209">
        <v>159950</v>
      </c>
      <c r="C33" s="346">
        <v>55300</v>
      </c>
      <c r="D33" s="210"/>
      <c r="E33" s="348"/>
      <c r="F33" s="349"/>
      <c r="G33" s="210"/>
    </row>
    <row r="34" spans="1:7" ht="25.5" thickBot="1">
      <c r="A34" s="358"/>
      <c r="B34" s="350"/>
      <c r="C34" s="351"/>
      <c r="D34" s="359" t="s">
        <v>146</v>
      </c>
      <c r="E34" s="353">
        <f>B3+B4+B5+B6+B7+B8+B9+B10+B11+B12+B13+B14+B15+B16+B17+B18+B19+B20+B21+B22+B23+B24+B25+B26+B27+B28+B29+B30+B31+B32+B33+C3+C4+C5+C6+C7+C8+C9+C10+C11+C12+C13+C14+C15+C16+C17+C18+C19+C20+C21+C22+C23+C23+C24+C25+C26+C27+C28+C29+C30+C31+C32+C33+D3+D4+D5+D6+D7+D8+D9+D10+D11+D12+D13+D14+D15+D16+D17+D18+D19+D20+D21+D22+D23+D24+D25+D26+D27+D28+D29+D30</f>
        <v>7194390</v>
      </c>
      <c r="F34" s="350"/>
      <c r="G34" s="354"/>
    </row>
    <row r="35" spans="1:7" ht="15.75" thickBot="1">
      <c r="A35" s="360"/>
      <c r="B35" s="361"/>
      <c r="C35" s="362"/>
      <c r="D35" s="361"/>
      <c r="E35" s="362"/>
      <c r="F35" s="361"/>
      <c r="G35" s="363"/>
    </row>
  </sheetData>
  <mergeCells count="1">
    <mergeCell ref="A1:G1"/>
  </mergeCells>
  <pageMargins left="0.43" right="0.34" top="0.19" bottom="0.12" header="0.3" footer="0.14000000000000001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6"/>
  <sheetViews>
    <sheetView workbookViewId="0">
      <selection activeCell="J13" sqref="J13"/>
    </sheetView>
  </sheetViews>
  <sheetFormatPr baseColWidth="10" defaultRowHeight="15"/>
  <cols>
    <col min="1" max="1" width="6.7109375" customWidth="1"/>
    <col min="2" max="2" width="18.85546875" customWidth="1"/>
    <col min="3" max="3" width="17.42578125" customWidth="1"/>
    <col min="4" max="4" width="19.42578125" customWidth="1"/>
    <col min="5" max="5" width="23.42578125" customWidth="1"/>
  </cols>
  <sheetData>
    <row r="1" spans="1:5" s="138" customFormat="1" ht="33" customHeight="1" thickBot="1">
      <c r="A1" s="449" t="s">
        <v>122</v>
      </c>
      <c r="B1" s="450"/>
      <c r="C1" s="450"/>
      <c r="D1" s="450"/>
      <c r="E1" s="451"/>
    </row>
    <row r="2" spans="1:5" s="301" customFormat="1" ht="21.75" thickBot="1">
      <c r="A2" s="200" t="s">
        <v>0</v>
      </c>
      <c r="B2" s="364" t="s">
        <v>13</v>
      </c>
      <c r="C2" s="200"/>
      <c r="D2" s="200"/>
      <c r="E2" s="340"/>
    </row>
    <row r="3" spans="1:5" s="304" customFormat="1" ht="15.75">
      <c r="A3" s="203">
        <v>1</v>
      </c>
      <c r="B3" s="251">
        <v>400000</v>
      </c>
      <c r="C3" s="204">
        <v>122900</v>
      </c>
      <c r="D3" s="342"/>
      <c r="E3" s="343"/>
    </row>
    <row r="4" spans="1:5" s="304" customFormat="1" ht="15.75">
      <c r="A4" s="205">
        <v>2</v>
      </c>
      <c r="B4" s="206">
        <v>84000</v>
      </c>
      <c r="C4" s="21">
        <v>100000</v>
      </c>
      <c r="D4" s="344"/>
      <c r="E4" s="207"/>
    </row>
    <row r="5" spans="1:5" s="304" customFormat="1" ht="15.75">
      <c r="A5" s="205">
        <v>3</v>
      </c>
      <c r="B5" s="206">
        <v>1800</v>
      </c>
      <c r="C5" s="21">
        <v>400000</v>
      </c>
      <c r="D5" s="344"/>
      <c r="E5" s="207"/>
    </row>
    <row r="6" spans="1:5" s="304" customFormat="1" ht="15.75">
      <c r="A6" s="205">
        <v>4</v>
      </c>
      <c r="B6" s="206">
        <v>2400</v>
      </c>
      <c r="C6" s="21">
        <v>3500</v>
      </c>
      <c r="D6" s="344"/>
      <c r="E6" s="207"/>
    </row>
    <row r="7" spans="1:5" s="304" customFormat="1" ht="16.5" thickBot="1">
      <c r="A7" s="205">
        <v>5</v>
      </c>
      <c r="B7" s="206">
        <v>300000</v>
      </c>
      <c r="C7" s="27">
        <v>9200</v>
      </c>
      <c r="D7" s="344"/>
      <c r="E7" s="207"/>
    </row>
    <row r="8" spans="1:5" s="304" customFormat="1" ht="16.5" thickBot="1">
      <c r="A8" s="205">
        <v>6</v>
      </c>
      <c r="B8" s="206">
        <v>13000</v>
      </c>
      <c r="C8" s="302"/>
      <c r="D8" s="344"/>
      <c r="E8" s="207"/>
    </row>
    <row r="9" spans="1:5" s="304" customFormat="1" ht="15.75">
      <c r="A9" s="205">
        <v>7</v>
      </c>
      <c r="B9" s="206">
        <v>100000</v>
      </c>
      <c r="C9" s="215"/>
      <c r="D9" s="345"/>
      <c r="E9" s="207"/>
    </row>
    <row r="10" spans="1:5" s="304" customFormat="1" ht="15.75">
      <c r="A10" s="205">
        <v>8</v>
      </c>
      <c r="B10" s="206">
        <v>4420000</v>
      </c>
      <c r="C10" s="207"/>
      <c r="D10" s="344"/>
      <c r="E10" s="207"/>
    </row>
    <row r="11" spans="1:5" s="304" customFormat="1" ht="15.75">
      <c r="A11" s="205">
        <v>9</v>
      </c>
      <c r="B11" s="206">
        <v>32000</v>
      </c>
      <c r="C11" s="207"/>
      <c r="D11" s="344"/>
      <c r="E11" s="207"/>
    </row>
    <row r="12" spans="1:5" s="304" customFormat="1" ht="15.75">
      <c r="A12" s="205">
        <v>10</v>
      </c>
      <c r="B12" s="206">
        <v>345000</v>
      </c>
      <c r="C12" s="207"/>
      <c r="D12" s="344"/>
      <c r="E12" s="207"/>
    </row>
    <row r="13" spans="1:5" s="304" customFormat="1" ht="15.75">
      <c r="A13" s="205">
        <v>11</v>
      </c>
      <c r="B13" s="206">
        <v>535000</v>
      </c>
      <c r="C13" s="207"/>
      <c r="D13" s="344"/>
      <c r="E13" s="207"/>
    </row>
    <row r="14" spans="1:5" s="304" customFormat="1" ht="15.75">
      <c r="A14" s="205">
        <v>12</v>
      </c>
      <c r="B14" s="206">
        <v>150000</v>
      </c>
      <c r="C14" s="207"/>
      <c r="D14" s="344"/>
      <c r="E14" s="207"/>
    </row>
    <row r="15" spans="1:5" s="304" customFormat="1" ht="15.75">
      <c r="A15" s="205">
        <v>13</v>
      </c>
      <c r="B15" s="206">
        <v>8800</v>
      </c>
      <c r="C15" s="207"/>
      <c r="D15" s="344"/>
      <c r="E15" s="207"/>
    </row>
    <row r="16" spans="1:5" s="304" customFormat="1" ht="15.75">
      <c r="A16" s="205">
        <v>14</v>
      </c>
      <c r="B16" s="206">
        <v>54000</v>
      </c>
      <c r="C16" s="207"/>
      <c r="D16" s="344"/>
      <c r="E16" s="207"/>
    </row>
    <row r="17" spans="1:5" s="304" customFormat="1" ht="15.75">
      <c r="A17" s="205">
        <v>15</v>
      </c>
      <c r="B17" s="206">
        <v>551800</v>
      </c>
      <c r="C17" s="207"/>
      <c r="D17" s="344"/>
      <c r="E17" s="207"/>
    </row>
    <row r="18" spans="1:5" s="304" customFormat="1" ht="15.75">
      <c r="A18" s="205">
        <v>16</v>
      </c>
      <c r="B18" s="206">
        <v>142000</v>
      </c>
      <c r="C18" s="207"/>
      <c r="D18" s="344"/>
      <c r="E18" s="207"/>
    </row>
    <row r="19" spans="1:5" s="304" customFormat="1" ht="15.75">
      <c r="A19" s="205">
        <v>17</v>
      </c>
      <c r="B19" s="206">
        <v>70000</v>
      </c>
      <c r="C19" s="207"/>
      <c r="D19" s="344"/>
      <c r="E19" s="207"/>
    </row>
    <row r="20" spans="1:5" s="304" customFormat="1" ht="15.75">
      <c r="A20" s="205">
        <v>18</v>
      </c>
      <c r="B20" s="206">
        <v>43000</v>
      </c>
      <c r="C20" s="207"/>
      <c r="D20" s="344"/>
      <c r="E20" s="207"/>
    </row>
    <row r="21" spans="1:5" s="304" customFormat="1" ht="15.75">
      <c r="A21" s="205">
        <v>19</v>
      </c>
      <c r="B21" s="206">
        <v>302000</v>
      </c>
      <c r="C21" s="207"/>
      <c r="D21" s="344"/>
      <c r="E21" s="207"/>
    </row>
    <row r="22" spans="1:5" s="304" customFormat="1" ht="15.75">
      <c r="A22" s="205">
        <v>20</v>
      </c>
      <c r="B22" s="206">
        <v>19000</v>
      </c>
      <c r="C22" s="207"/>
      <c r="D22" s="344"/>
      <c r="E22" s="207"/>
    </row>
    <row r="23" spans="1:5" s="304" customFormat="1" ht="15.75">
      <c r="A23" s="205">
        <v>21</v>
      </c>
      <c r="B23" s="206">
        <v>234000</v>
      </c>
      <c r="C23" s="207"/>
      <c r="D23" s="344"/>
      <c r="E23" s="207"/>
    </row>
    <row r="24" spans="1:5" s="304" customFormat="1" ht="15.75">
      <c r="A24" s="205">
        <v>22</v>
      </c>
      <c r="B24" s="206">
        <v>141000</v>
      </c>
      <c r="C24" s="207"/>
      <c r="D24" s="344"/>
      <c r="E24" s="207"/>
    </row>
    <row r="25" spans="1:5" s="304" customFormat="1" ht="15.75">
      <c r="A25" s="205">
        <v>23</v>
      </c>
      <c r="B25" s="206">
        <v>326000</v>
      </c>
      <c r="C25" s="207"/>
      <c r="D25" s="344"/>
      <c r="E25" s="207"/>
    </row>
    <row r="26" spans="1:5" s="304" customFormat="1" ht="15.75">
      <c r="A26" s="205">
        <v>24</v>
      </c>
      <c r="B26" s="206">
        <v>407000</v>
      </c>
      <c r="C26" s="207"/>
      <c r="D26" s="344"/>
      <c r="E26" s="207"/>
    </row>
    <row r="27" spans="1:5" s="304" customFormat="1" ht="15.75">
      <c r="A27" s="205">
        <v>25</v>
      </c>
      <c r="B27" s="206">
        <v>208000</v>
      </c>
      <c r="C27" s="207"/>
      <c r="D27" s="344"/>
      <c r="E27" s="207"/>
    </row>
    <row r="28" spans="1:5" s="304" customFormat="1" ht="15.75">
      <c r="A28" s="205">
        <v>26</v>
      </c>
      <c r="B28" s="206">
        <v>214700</v>
      </c>
      <c r="C28" s="207"/>
      <c r="D28" s="344"/>
      <c r="E28" s="207"/>
    </row>
    <row r="29" spans="1:5" s="304" customFormat="1" ht="15.75">
      <c r="A29" s="205">
        <v>27</v>
      </c>
      <c r="B29" s="206">
        <v>300000</v>
      </c>
      <c r="C29" s="207"/>
      <c r="D29" s="344"/>
      <c r="E29" s="207"/>
    </row>
    <row r="30" spans="1:5" s="304" customFormat="1" ht="15.75">
      <c r="A30" s="205">
        <v>28</v>
      </c>
      <c r="B30" s="206">
        <v>29900</v>
      </c>
      <c r="C30" s="207"/>
      <c r="D30" s="344"/>
      <c r="E30" s="207"/>
    </row>
    <row r="31" spans="1:5" s="304" customFormat="1" ht="15.75">
      <c r="A31" s="205">
        <v>29</v>
      </c>
      <c r="B31" s="206">
        <v>300000</v>
      </c>
      <c r="C31" s="365"/>
      <c r="D31" s="344"/>
      <c r="E31" s="207"/>
    </row>
    <row r="32" spans="1:5" s="304" customFormat="1" ht="15.75">
      <c r="A32" s="205">
        <v>30</v>
      </c>
      <c r="B32" s="206">
        <v>200000</v>
      </c>
      <c r="C32" s="207"/>
      <c r="D32" s="344"/>
      <c r="E32" s="207"/>
    </row>
    <row r="33" spans="1:5" s="304" customFormat="1" ht="16.5" thickBot="1">
      <c r="A33" s="208">
        <v>31</v>
      </c>
      <c r="B33" s="209">
        <v>250000</v>
      </c>
      <c r="C33" s="210"/>
      <c r="D33" s="349"/>
      <c r="E33" s="210"/>
    </row>
    <row r="34" spans="1:5" s="304" customFormat="1" ht="25.5" thickBot="1">
      <c r="A34" s="358"/>
      <c r="B34" s="350"/>
      <c r="C34" s="351"/>
      <c r="D34" s="366" t="s">
        <v>28</v>
      </c>
      <c r="E34" s="370">
        <f>B3+B4+B5+B6+B7+B8+B9+B10+B11+B12+B13+B14+B15+B16+B17+B18+B19+B20+B21+B22+B23+B24+B25+B26+B27+B28+B29+B30+B31+B32+B33+C3+C4+C5+C6+C7</f>
        <v>10820000</v>
      </c>
    </row>
    <row r="35" spans="1:5" s="304" customFormat="1">
      <c r="A35" s="367"/>
      <c r="B35" s="368"/>
      <c r="C35" s="369"/>
      <c r="D35" s="368"/>
      <c r="E35" s="371"/>
    </row>
    <row r="36" spans="1:5" ht="15.75" thickBot="1">
      <c r="A36" s="372"/>
      <c r="B36" s="373"/>
      <c r="C36" s="374"/>
      <c r="D36" s="373"/>
      <c r="E36" s="375"/>
    </row>
  </sheetData>
  <mergeCells count="1">
    <mergeCell ref="A1:E1"/>
  </mergeCells>
  <pageMargins left="0.43" right="0.34" top="0.28000000000000003" bottom="0.32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selection activeCell="H10" sqref="H10"/>
    </sheetView>
  </sheetViews>
  <sheetFormatPr baseColWidth="10" defaultRowHeight="15"/>
  <cols>
    <col min="1" max="1" width="6.7109375" customWidth="1"/>
    <col min="2" max="2" width="18.85546875" customWidth="1"/>
    <col min="3" max="4" width="17.42578125" customWidth="1"/>
    <col min="5" max="5" width="28.85546875" customWidth="1"/>
  </cols>
  <sheetData>
    <row r="1" spans="1:5" s="138" customFormat="1" ht="33" customHeight="1" thickBot="1">
      <c r="A1" s="452" t="s">
        <v>118</v>
      </c>
      <c r="B1" s="453"/>
      <c r="C1" s="453"/>
      <c r="D1" s="453"/>
      <c r="E1" s="454"/>
    </row>
    <row r="2" spans="1:5" s="61" customFormat="1" ht="19.5" thickBot="1">
      <c r="A2" s="200" t="s">
        <v>0</v>
      </c>
      <c r="B2" s="355" t="s">
        <v>13</v>
      </c>
      <c r="C2" s="200"/>
      <c r="D2" s="200"/>
      <c r="E2" s="340"/>
    </row>
    <row r="3" spans="1:5" ht="15.75">
      <c r="A3" s="203">
        <v>1</v>
      </c>
      <c r="B3" s="251">
        <v>17000</v>
      </c>
      <c r="C3" s="343"/>
      <c r="D3" s="342"/>
      <c r="E3" s="343"/>
    </row>
    <row r="4" spans="1:5" ht="15.75">
      <c r="A4" s="205">
        <v>2</v>
      </c>
      <c r="B4" s="206">
        <v>352000</v>
      </c>
      <c r="C4" s="207"/>
      <c r="D4" s="344"/>
      <c r="E4" s="207"/>
    </row>
    <row r="5" spans="1:5" ht="15.75">
      <c r="A5" s="205">
        <v>3</v>
      </c>
      <c r="B5" s="206">
        <v>4000</v>
      </c>
      <c r="C5" s="207"/>
      <c r="D5" s="344"/>
      <c r="E5" s="207"/>
    </row>
    <row r="6" spans="1:5" ht="15.75">
      <c r="A6" s="205">
        <v>4</v>
      </c>
      <c r="B6" s="206">
        <v>540000</v>
      </c>
      <c r="C6" s="207"/>
      <c r="D6" s="344"/>
      <c r="E6" s="207"/>
    </row>
    <row r="7" spans="1:5" ht="15.75">
      <c r="A7" s="205">
        <v>5</v>
      </c>
      <c r="B7" s="206">
        <v>25000</v>
      </c>
      <c r="C7" s="207"/>
      <c r="D7" s="344"/>
      <c r="E7" s="207"/>
    </row>
    <row r="8" spans="1:5" ht="15.75">
      <c r="A8" s="205">
        <v>6</v>
      </c>
      <c r="B8" s="206">
        <v>114400</v>
      </c>
      <c r="C8" s="207"/>
      <c r="D8" s="344"/>
      <c r="E8" s="207"/>
    </row>
    <row r="9" spans="1:5" ht="15.75">
      <c r="A9" s="205">
        <v>7</v>
      </c>
      <c r="B9" s="206">
        <v>280000</v>
      </c>
      <c r="C9" s="207"/>
      <c r="D9" s="345"/>
      <c r="E9" s="207"/>
    </row>
    <row r="10" spans="1:5" ht="15.75">
      <c r="A10" s="205">
        <v>8</v>
      </c>
      <c r="B10" s="206">
        <v>282000</v>
      </c>
      <c r="C10" s="207"/>
      <c r="D10" s="344"/>
      <c r="E10" s="207"/>
    </row>
    <row r="11" spans="1:5" ht="15.75">
      <c r="A11" s="205">
        <v>9</v>
      </c>
      <c r="B11" s="206">
        <v>50000</v>
      </c>
      <c r="C11" s="207"/>
      <c r="D11" s="344"/>
      <c r="E11" s="207"/>
    </row>
    <row r="12" spans="1:5" ht="15.75">
      <c r="A12" s="205">
        <v>10</v>
      </c>
      <c r="B12" s="206">
        <v>11100</v>
      </c>
      <c r="C12" s="207"/>
      <c r="D12" s="344"/>
      <c r="E12" s="207"/>
    </row>
    <row r="13" spans="1:5" ht="15.75">
      <c r="A13" s="205">
        <v>11</v>
      </c>
      <c r="B13" s="206">
        <v>36600</v>
      </c>
      <c r="C13" s="207"/>
      <c r="D13" s="344"/>
      <c r="E13" s="207"/>
    </row>
    <row r="14" spans="1:5" ht="15.75">
      <c r="A14" s="205">
        <v>12</v>
      </c>
      <c r="B14" s="206">
        <v>15200</v>
      </c>
      <c r="C14" s="207"/>
      <c r="D14" s="344"/>
      <c r="E14" s="207"/>
    </row>
    <row r="15" spans="1:5" ht="15.75">
      <c r="A15" s="205">
        <v>13</v>
      </c>
      <c r="B15" s="206">
        <v>31000</v>
      </c>
      <c r="C15" s="207"/>
      <c r="D15" s="344"/>
      <c r="E15" s="207"/>
    </row>
    <row r="16" spans="1:5" ht="15.75">
      <c r="A16" s="205">
        <v>14</v>
      </c>
      <c r="B16" s="206">
        <v>1600</v>
      </c>
      <c r="C16" s="207"/>
      <c r="D16" s="344"/>
      <c r="E16" s="207"/>
    </row>
    <row r="17" spans="1:5" ht="15.75">
      <c r="A17" s="205">
        <v>15</v>
      </c>
      <c r="B17" s="206">
        <v>1900</v>
      </c>
      <c r="C17" s="207"/>
      <c r="D17" s="344"/>
      <c r="E17" s="207"/>
    </row>
    <row r="18" spans="1:5" ht="15.75">
      <c r="A18" s="205">
        <v>16</v>
      </c>
      <c r="B18" s="206">
        <v>4450</v>
      </c>
      <c r="C18" s="207"/>
      <c r="D18" s="344"/>
      <c r="E18" s="207"/>
    </row>
    <row r="19" spans="1:5" ht="15.75">
      <c r="A19" s="205">
        <v>17</v>
      </c>
      <c r="B19" s="206">
        <v>10000</v>
      </c>
      <c r="C19" s="207"/>
      <c r="D19" s="344"/>
      <c r="E19" s="207"/>
    </row>
    <row r="20" spans="1:5" ht="15.75">
      <c r="A20" s="205">
        <v>18</v>
      </c>
      <c r="B20" s="206">
        <v>108000</v>
      </c>
      <c r="C20" s="207"/>
      <c r="D20" s="344"/>
      <c r="E20" s="207"/>
    </row>
    <row r="21" spans="1:5" ht="15.75">
      <c r="A21" s="205">
        <v>19</v>
      </c>
      <c r="B21" s="206">
        <v>2000</v>
      </c>
      <c r="C21" s="207"/>
      <c r="D21" s="344"/>
      <c r="E21" s="207"/>
    </row>
    <row r="22" spans="1:5" ht="15.75">
      <c r="A22" s="205">
        <v>20</v>
      </c>
      <c r="B22" s="206">
        <v>23200</v>
      </c>
      <c r="C22" s="207"/>
      <c r="D22" s="344"/>
      <c r="E22" s="207"/>
    </row>
    <row r="23" spans="1:5" ht="15.75">
      <c r="A23" s="205">
        <v>21</v>
      </c>
      <c r="B23" s="206">
        <v>3000</v>
      </c>
      <c r="C23" s="207"/>
      <c r="D23" s="344"/>
      <c r="E23" s="207"/>
    </row>
    <row r="24" spans="1:5" ht="15.75">
      <c r="A24" s="205">
        <v>22</v>
      </c>
      <c r="B24" s="206">
        <v>6300</v>
      </c>
      <c r="C24" s="207"/>
      <c r="D24" s="344"/>
      <c r="E24" s="207"/>
    </row>
    <row r="25" spans="1:5" ht="15.75">
      <c r="A25" s="205">
        <v>23</v>
      </c>
      <c r="B25" s="206">
        <v>10700</v>
      </c>
      <c r="C25" s="207"/>
      <c r="D25" s="344"/>
      <c r="E25" s="207"/>
    </row>
    <row r="26" spans="1:5" ht="15.75">
      <c r="A26" s="205">
        <v>24</v>
      </c>
      <c r="B26" s="206">
        <v>6300</v>
      </c>
      <c r="C26" s="207"/>
      <c r="D26" s="344"/>
      <c r="E26" s="207"/>
    </row>
    <row r="27" spans="1:5" ht="15.75">
      <c r="A27" s="205">
        <v>25</v>
      </c>
      <c r="B27" s="206">
        <v>5000</v>
      </c>
      <c r="C27" s="207"/>
      <c r="D27" s="344"/>
      <c r="E27" s="207"/>
    </row>
    <row r="28" spans="1:5" ht="16.5" thickBot="1">
      <c r="A28" s="205">
        <v>26</v>
      </c>
      <c r="B28" s="209">
        <v>11600</v>
      </c>
      <c r="C28" s="207"/>
      <c r="D28" s="344"/>
      <c r="E28" s="207"/>
    </row>
    <row r="29" spans="1:5" ht="15.75" thickBot="1">
      <c r="A29" s="205">
        <v>27</v>
      </c>
      <c r="B29" s="302"/>
      <c r="C29" s="207"/>
      <c r="D29" s="344"/>
      <c r="E29" s="207"/>
    </row>
    <row r="30" spans="1:5">
      <c r="A30" s="205">
        <v>28</v>
      </c>
      <c r="B30" s="376"/>
      <c r="C30" s="207"/>
      <c r="D30" s="344"/>
      <c r="E30" s="207"/>
    </row>
    <row r="31" spans="1:5" ht="15.75" thickBot="1">
      <c r="A31" s="208">
        <v>29</v>
      </c>
      <c r="B31" s="349"/>
      <c r="C31" s="210"/>
      <c r="D31" s="349"/>
      <c r="E31" s="210"/>
    </row>
    <row r="32" spans="1:5" ht="27.75" thickBot="1">
      <c r="A32" s="211"/>
      <c r="B32" s="377"/>
      <c r="C32" s="212"/>
      <c r="D32" s="378" t="s">
        <v>28</v>
      </c>
      <c r="E32" s="379">
        <f>B3+B4+B5+B6+B7+B8+B9+B10+B11+B12+B13+B14+B15+B16+B17+B18+B19+B20+B21+B22+B23+B24+B25+B26+B27+B28</f>
        <v>1952350</v>
      </c>
    </row>
    <row r="33" spans="1:5" ht="15.75" thickBot="1">
      <c r="A33" s="230"/>
      <c r="B33" s="380"/>
      <c r="C33" s="381"/>
      <c r="D33" s="380"/>
      <c r="E33" s="381"/>
    </row>
  </sheetData>
  <mergeCells count="1">
    <mergeCell ref="A1:E1"/>
  </mergeCells>
  <pageMargins left="0.43" right="0.34" top="0.28000000000000003" bottom="0.32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3"/>
  <sheetViews>
    <sheetView workbookViewId="0">
      <selection sqref="A1:G33"/>
    </sheetView>
  </sheetViews>
  <sheetFormatPr baseColWidth="10" defaultRowHeight="15"/>
  <cols>
    <col min="1" max="1" width="6.7109375" customWidth="1"/>
    <col min="2" max="2" width="18.85546875" customWidth="1"/>
    <col min="3" max="4" width="17.42578125" customWidth="1"/>
    <col min="5" max="5" width="23" customWidth="1"/>
    <col min="6" max="6" width="15.85546875" customWidth="1"/>
    <col min="7" max="7" width="15.7109375" customWidth="1"/>
  </cols>
  <sheetData>
    <row r="1" spans="1:7" s="138" customFormat="1" ht="33" customHeight="1" thickBot="1">
      <c r="A1" s="455" t="s">
        <v>117</v>
      </c>
      <c r="B1" s="456"/>
      <c r="C1" s="456"/>
      <c r="D1" s="456"/>
      <c r="E1" s="456"/>
      <c r="F1" s="456"/>
      <c r="G1" s="456"/>
    </row>
    <row r="2" spans="1:7" s="61" customFormat="1" ht="19.5" thickBot="1">
      <c r="A2" s="200" t="s">
        <v>0</v>
      </c>
      <c r="B2" s="355" t="s">
        <v>13</v>
      </c>
      <c r="C2" s="200"/>
      <c r="D2" s="200"/>
      <c r="E2" s="356"/>
      <c r="F2" s="339"/>
      <c r="G2" s="200"/>
    </row>
    <row r="3" spans="1:7" ht="15.75">
      <c r="A3" s="203">
        <v>1</v>
      </c>
      <c r="B3" s="251">
        <v>627000</v>
      </c>
      <c r="C3" s="343"/>
      <c r="D3" s="342"/>
      <c r="E3" s="343"/>
      <c r="F3" s="342"/>
      <c r="G3" s="343"/>
    </row>
    <row r="4" spans="1:7" ht="15.75">
      <c r="A4" s="205">
        <v>2</v>
      </c>
      <c r="B4" s="206">
        <v>79000</v>
      </c>
      <c r="C4" s="207"/>
      <c r="D4" s="344"/>
      <c r="E4" s="207"/>
      <c r="F4" s="344"/>
      <c r="G4" s="207"/>
    </row>
    <row r="5" spans="1:7" ht="15.75">
      <c r="A5" s="205">
        <v>3</v>
      </c>
      <c r="B5" s="206">
        <v>141000</v>
      </c>
      <c r="C5" s="207"/>
      <c r="D5" s="344"/>
      <c r="E5" s="207"/>
      <c r="F5" s="344"/>
      <c r="G5" s="207"/>
    </row>
    <row r="6" spans="1:7" ht="15.75">
      <c r="A6" s="205">
        <v>4</v>
      </c>
      <c r="B6" s="206">
        <v>854000</v>
      </c>
      <c r="C6" s="207"/>
      <c r="D6" s="344"/>
      <c r="E6" s="207"/>
      <c r="F6" s="344"/>
      <c r="G6" s="207"/>
    </row>
    <row r="7" spans="1:7" ht="15.75">
      <c r="A7" s="205">
        <v>5</v>
      </c>
      <c r="B7" s="206">
        <v>1800</v>
      </c>
      <c r="C7" s="207"/>
      <c r="D7" s="344"/>
      <c r="E7" s="207"/>
      <c r="F7" s="344"/>
      <c r="G7" s="207"/>
    </row>
    <row r="8" spans="1:7" ht="15.75">
      <c r="A8" s="205">
        <v>6</v>
      </c>
      <c r="B8" s="206">
        <v>50000</v>
      </c>
      <c r="C8" s="207"/>
      <c r="D8" s="344"/>
      <c r="E8" s="207"/>
      <c r="F8" s="344"/>
      <c r="G8" s="207"/>
    </row>
    <row r="9" spans="1:7" ht="15.75">
      <c r="A9" s="205">
        <v>7</v>
      </c>
      <c r="B9" s="206">
        <v>185000</v>
      </c>
      <c r="C9" s="207"/>
      <c r="D9" s="345"/>
      <c r="E9" s="207"/>
      <c r="F9" s="344"/>
      <c r="G9" s="207"/>
    </row>
    <row r="10" spans="1:7" ht="15.75">
      <c r="A10" s="205">
        <v>8</v>
      </c>
      <c r="B10" s="206">
        <v>185000</v>
      </c>
      <c r="C10" s="207"/>
      <c r="D10" s="344"/>
      <c r="E10" s="207"/>
      <c r="F10" s="344"/>
      <c r="G10" s="207"/>
    </row>
    <row r="11" spans="1:7" ht="15.75">
      <c r="A11" s="205">
        <v>9</v>
      </c>
      <c r="B11" s="206">
        <v>11000</v>
      </c>
      <c r="C11" s="207"/>
      <c r="D11" s="344"/>
      <c r="E11" s="207"/>
      <c r="F11" s="344"/>
      <c r="G11" s="207"/>
    </row>
    <row r="12" spans="1:7" ht="15.75">
      <c r="A12" s="205">
        <v>10</v>
      </c>
      <c r="B12" s="206">
        <v>180000</v>
      </c>
      <c r="C12" s="207"/>
      <c r="D12" s="344"/>
      <c r="E12" s="207"/>
      <c r="F12" s="344"/>
      <c r="G12" s="207"/>
    </row>
    <row r="13" spans="1:7" ht="15.75">
      <c r="A13" s="205">
        <v>11</v>
      </c>
      <c r="B13" s="206">
        <v>181000</v>
      </c>
      <c r="C13" s="207"/>
      <c r="D13" s="344"/>
      <c r="E13" s="207"/>
      <c r="F13" s="344"/>
      <c r="G13" s="207"/>
    </row>
    <row r="14" spans="1:7" ht="15.75">
      <c r="A14" s="205">
        <v>12</v>
      </c>
      <c r="B14" s="206">
        <v>187000</v>
      </c>
      <c r="C14" s="207"/>
      <c r="D14" s="344"/>
      <c r="E14" s="207"/>
      <c r="F14" s="344"/>
      <c r="G14" s="207"/>
    </row>
    <row r="15" spans="1:7" ht="15.75">
      <c r="A15" s="205">
        <v>13</v>
      </c>
      <c r="B15" s="206">
        <v>41200</v>
      </c>
      <c r="C15" s="207"/>
      <c r="D15" s="344"/>
      <c r="E15" s="207"/>
      <c r="F15" s="344"/>
      <c r="G15" s="207"/>
    </row>
    <row r="16" spans="1:7" ht="15.75">
      <c r="A16" s="205">
        <v>14</v>
      </c>
      <c r="B16" s="206">
        <v>186000</v>
      </c>
      <c r="C16" s="207"/>
      <c r="D16" s="344"/>
      <c r="E16" s="207"/>
      <c r="F16" s="344"/>
      <c r="G16" s="207"/>
    </row>
    <row r="17" spans="1:7" ht="15.75">
      <c r="A17" s="205">
        <v>15</v>
      </c>
      <c r="B17" s="206">
        <v>3000</v>
      </c>
      <c r="C17" s="207"/>
      <c r="D17" s="344"/>
      <c r="E17" s="207"/>
      <c r="F17" s="344"/>
      <c r="G17" s="207"/>
    </row>
    <row r="18" spans="1:7" ht="15.75">
      <c r="A18" s="205">
        <v>16</v>
      </c>
      <c r="B18" s="206">
        <v>180000</v>
      </c>
      <c r="C18" s="207"/>
      <c r="D18" s="344"/>
      <c r="E18" s="207"/>
      <c r="F18" s="344"/>
      <c r="G18" s="207"/>
    </row>
    <row r="19" spans="1:7" ht="15.75">
      <c r="A19" s="205">
        <v>17</v>
      </c>
      <c r="B19" s="206">
        <v>19700</v>
      </c>
      <c r="C19" s="207"/>
      <c r="D19" s="344"/>
      <c r="E19" s="207"/>
      <c r="F19" s="344"/>
      <c r="G19" s="207"/>
    </row>
    <row r="20" spans="1:7" ht="15.75">
      <c r="A20" s="205">
        <v>18</v>
      </c>
      <c r="B20" s="206">
        <v>100000</v>
      </c>
      <c r="C20" s="207"/>
      <c r="D20" s="344"/>
      <c r="E20" s="207"/>
      <c r="F20" s="344"/>
      <c r="G20" s="207"/>
    </row>
    <row r="21" spans="1:7" ht="15.75">
      <c r="A21" s="205">
        <v>19</v>
      </c>
      <c r="B21" s="206">
        <v>80000</v>
      </c>
      <c r="C21" s="207"/>
      <c r="D21" s="344"/>
      <c r="E21" s="207"/>
      <c r="F21" s="344"/>
      <c r="G21" s="207"/>
    </row>
    <row r="22" spans="1:7" ht="16.5" thickBot="1">
      <c r="A22" s="205">
        <v>20</v>
      </c>
      <c r="B22" s="209">
        <v>19600</v>
      </c>
      <c r="C22" s="207"/>
      <c r="D22" s="344"/>
      <c r="E22" s="207"/>
      <c r="F22" s="344"/>
      <c r="G22" s="207"/>
    </row>
    <row r="23" spans="1:7" ht="16.5" thickBot="1">
      <c r="A23" s="205">
        <v>21</v>
      </c>
      <c r="B23" s="382"/>
      <c r="C23" s="207"/>
      <c r="D23" s="344"/>
      <c r="E23" s="207"/>
      <c r="F23" s="344"/>
      <c r="G23" s="207"/>
    </row>
    <row r="24" spans="1:7" ht="15.75">
      <c r="A24" s="205">
        <v>22</v>
      </c>
      <c r="B24" s="214"/>
      <c r="C24" s="207"/>
      <c r="D24" s="344"/>
      <c r="E24" s="207"/>
      <c r="F24" s="344"/>
      <c r="G24" s="207"/>
    </row>
    <row r="25" spans="1:7" ht="15.75">
      <c r="A25" s="205">
        <v>23</v>
      </c>
      <c r="B25" s="206"/>
      <c r="C25" s="207"/>
      <c r="D25" s="344"/>
      <c r="E25" s="207"/>
      <c r="F25" s="344"/>
      <c r="G25" s="207"/>
    </row>
    <row r="26" spans="1:7" ht="16.5" thickBot="1">
      <c r="A26" s="208">
        <v>24</v>
      </c>
      <c r="B26" s="209"/>
      <c r="C26" s="210"/>
      <c r="D26" s="349"/>
      <c r="E26" s="210"/>
      <c r="F26" s="349"/>
      <c r="G26" s="210"/>
    </row>
    <row r="27" spans="1:7" ht="25.5" thickBot="1">
      <c r="A27" s="211"/>
      <c r="B27" s="383"/>
      <c r="C27" s="212"/>
      <c r="D27" s="353" t="s">
        <v>28</v>
      </c>
      <c r="E27" s="384">
        <f>B3+B4+B5+B6+B7+B8+B9+B10+B11+B12+B13+B14+B15+B16+B17+B18+B19+B20+B21+B22</f>
        <v>3311300</v>
      </c>
      <c r="F27" s="377"/>
      <c r="G27" s="212"/>
    </row>
    <row r="28" spans="1:7" ht="15.75">
      <c r="A28" s="213">
        <v>26</v>
      </c>
      <c r="B28" s="214"/>
      <c r="C28" s="215"/>
      <c r="D28" s="376"/>
      <c r="E28" s="215"/>
      <c r="F28" s="376"/>
      <c r="G28" s="215"/>
    </row>
    <row r="29" spans="1:7">
      <c r="A29" s="205">
        <v>27</v>
      </c>
      <c r="B29" s="344"/>
      <c r="C29" s="207"/>
      <c r="D29" s="344"/>
      <c r="E29" s="207"/>
      <c r="F29" s="344"/>
      <c r="G29" s="207"/>
    </row>
    <row r="30" spans="1:7">
      <c r="A30" s="205">
        <v>28</v>
      </c>
      <c r="B30" s="344"/>
      <c r="C30" s="207"/>
      <c r="D30" s="344"/>
      <c r="E30" s="207"/>
      <c r="F30" s="344"/>
      <c r="G30" s="207"/>
    </row>
    <row r="31" spans="1:7">
      <c r="A31" s="205">
        <v>29</v>
      </c>
      <c r="B31" s="344"/>
      <c r="C31" s="207"/>
      <c r="D31" s="344"/>
      <c r="E31" s="207"/>
      <c r="F31" s="344"/>
      <c r="G31" s="207"/>
    </row>
    <row r="32" spans="1:7">
      <c r="A32" s="205">
        <v>30</v>
      </c>
      <c r="B32" s="344"/>
      <c r="C32" s="207"/>
      <c r="D32" s="344"/>
      <c r="E32" s="207"/>
      <c r="F32" s="344"/>
      <c r="G32" s="207"/>
    </row>
    <row r="33" spans="1:7" ht="15.75" thickBot="1">
      <c r="A33" s="216">
        <v>31</v>
      </c>
      <c r="B33" s="385"/>
      <c r="C33" s="217"/>
      <c r="D33" s="385"/>
      <c r="E33" s="217"/>
      <c r="F33" s="385"/>
      <c r="G33" s="217"/>
    </row>
  </sheetData>
  <mergeCells count="1">
    <mergeCell ref="A1:G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selection activeCell="H21" sqref="H21"/>
    </sheetView>
  </sheetViews>
  <sheetFormatPr baseColWidth="10" defaultRowHeight="15"/>
  <cols>
    <col min="1" max="1" width="12.7109375" customWidth="1"/>
    <col min="2" max="2" width="24" customWidth="1"/>
    <col min="3" max="3" width="23.42578125" customWidth="1"/>
    <col min="4" max="4" width="23.28515625" customWidth="1"/>
    <col min="5" max="5" width="30.28515625" customWidth="1"/>
    <col min="6" max="6" width="15.85546875" customWidth="1"/>
    <col min="7" max="7" width="15.7109375" customWidth="1"/>
    <col min="8" max="8" width="17.28515625" customWidth="1"/>
  </cols>
  <sheetData>
    <row r="1" spans="1:8" s="195" customFormat="1" ht="33" customHeight="1" thickBot="1">
      <c r="A1" s="457" t="s">
        <v>123</v>
      </c>
      <c r="B1" s="458"/>
      <c r="C1" s="458"/>
      <c r="D1" s="458"/>
      <c r="E1" s="459"/>
      <c r="F1" s="196"/>
      <c r="G1" s="196"/>
      <c r="H1" s="196"/>
    </row>
    <row r="2" spans="1:8" s="61" customFormat="1" ht="19.5" thickBot="1">
      <c r="A2" s="200" t="s">
        <v>0</v>
      </c>
      <c r="B2" s="355" t="s">
        <v>13</v>
      </c>
      <c r="C2" s="200"/>
      <c r="D2" s="200"/>
      <c r="E2" s="340"/>
      <c r="F2" s="193"/>
      <c r="G2" s="193"/>
      <c r="H2" s="193"/>
    </row>
    <row r="3" spans="1:8" ht="15.75">
      <c r="A3" s="203">
        <v>1</v>
      </c>
      <c r="B3" s="251">
        <v>7779000</v>
      </c>
      <c r="C3" s="343"/>
      <c r="D3" s="342"/>
      <c r="E3" s="343"/>
      <c r="F3" s="194"/>
      <c r="G3" s="194"/>
      <c r="H3" s="194"/>
    </row>
    <row r="4" spans="1:8" ht="15.75">
      <c r="A4" s="205">
        <v>2</v>
      </c>
      <c r="B4" s="206">
        <v>107500</v>
      </c>
      <c r="C4" s="207"/>
      <c r="D4" s="344"/>
      <c r="E4" s="207"/>
      <c r="F4" s="194"/>
      <c r="G4" s="194"/>
      <c r="H4" s="194"/>
    </row>
    <row r="5" spans="1:8" ht="15.75">
      <c r="A5" s="205">
        <v>3</v>
      </c>
      <c r="B5" s="206">
        <v>11200</v>
      </c>
      <c r="C5" s="207"/>
      <c r="D5" s="344"/>
      <c r="E5" s="207"/>
      <c r="F5" s="194"/>
      <c r="G5" s="194"/>
      <c r="H5" s="194"/>
    </row>
    <row r="6" spans="1:8" ht="15.75">
      <c r="A6" s="205">
        <v>4</v>
      </c>
      <c r="B6" s="206">
        <v>28000</v>
      </c>
      <c r="C6" s="207"/>
      <c r="D6" s="344"/>
      <c r="E6" s="207"/>
      <c r="F6" s="194"/>
      <c r="G6" s="194"/>
      <c r="H6" s="194"/>
    </row>
    <row r="7" spans="1:8" ht="15.75">
      <c r="A7" s="205">
        <v>5</v>
      </c>
      <c r="B7" s="206">
        <v>35000</v>
      </c>
      <c r="C7" s="207"/>
      <c r="D7" s="344"/>
      <c r="E7" s="207"/>
      <c r="F7" s="194"/>
      <c r="G7" s="194"/>
      <c r="H7" s="194"/>
    </row>
    <row r="8" spans="1:8" ht="15.75">
      <c r="A8" s="205">
        <v>6</v>
      </c>
      <c r="B8" s="206">
        <v>344000</v>
      </c>
      <c r="C8" s="207"/>
      <c r="D8" s="344"/>
      <c r="E8" s="207"/>
      <c r="F8" s="194"/>
      <c r="G8" s="194"/>
      <c r="H8" s="194"/>
    </row>
    <row r="9" spans="1:8" ht="15.75">
      <c r="A9" s="205">
        <v>7</v>
      </c>
      <c r="B9" s="206">
        <v>413000</v>
      </c>
      <c r="C9" s="207"/>
      <c r="D9" s="345"/>
      <c r="E9" s="207"/>
      <c r="F9" s="194"/>
      <c r="G9" s="194"/>
      <c r="H9" s="194"/>
    </row>
    <row r="10" spans="1:8" ht="15.75">
      <c r="A10" s="205">
        <v>8</v>
      </c>
      <c r="B10" s="206">
        <v>106000</v>
      </c>
      <c r="C10" s="207"/>
      <c r="D10" s="344"/>
      <c r="E10" s="207"/>
      <c r="F10" s="194"/>
      <c r="G10" s="194"/>
      <c r="H10" s="194"/>
    </row>
    <row r="11" spans="1:8" ht="16.5" thickBot="1">
      <c r="A11" s="205">
        <v>9</v>
      </c>
      <c r="B11" s="209">
        <v>206000</v>
      </c>
      <c r="C11" s="207"/>
      <c r="D11" s="344"/>
      <c r="E11" s="207"/>
      <c r="F11" s="194"/>
      <c r="G11" s="194"/>
      <c r="H11" s="194"/>
    </row>
    <row r="12" spans="1:8" ht="16.5" thickBot="1">
      <c r="A12" s="386">
        <v>10</v>
      </c>
      <c r="B12" s="382"/>
      <c r="C12" s="387"/>
      <c r="D12" s="388"/>
      <c r="E12" s="387"/>
      <c r="F12" s="194"/>
      <c r="G12" s="194"/>
      <c r="H12" s="194"/>
    </row>
    <row r="13" spans="1:8" ht="15.75">
      <c r="A13" s="205">
        <v>11</v>
      </c>
      <c r="B13" s="214"/>
      <c r="C13" s="207"/>
      <c r="D13" s="344"/>
      <c r="E13" s="207"/>
      <c r="F13" s="194"/>
      <c r="G13" s="194"/>
      <c r="H13" s="194"/>
    </row>
    <row r="14" spans="1:8" ht="16.5" thickBot="1">
      <c r="A14" s="208">
        <v>12</v>
      </c>
      <c r="B14" s="209"/>
      <c r="C14" s="210"/>
      <c r="D14" s="349"/>
      <c r="E14" s="210"/>
      <c r="F14" s="194"/>
      <c r="G14" s="194"/>
      <c r="H14" s="194"/>
    </row>
    <row r="15" spans="1:8" ht="27.75" thickBot="1">
      <c r="A15" s="266"/>
      <c r="B15" s="257"/>
      <c r="C15" s="212"/>
      <c r="D15" s="389" t="s">
        <v>146</v>
      </c>
      <c r="E15" s="390">
        <f>B3+B4+B5+B6+B7+B8+B9+B10+B11</f>
        <v>9029700</v>
      </c>
      <c r="F15" s="194"/>
      <c r="G15" s="194"/>
      <c r="H15" s="194"/>
    </row>
    <row r="16" spans="1:8" ht="15.75">
      <c r="A16" s="213"/>
      <c r="B16" s="214"/>
      <c r="C16" s="215"/>
      <c r="D16" s="376"/>
      <c r="E16" s="215"/>
      <c r="F16" s="194"/>
      <c r="G16" s="194"/>
      <c r="H16" s="194"/>
    </row>
    <row r="17" spans="1:8" ht="16.5" thickBot="1">
      <c r="A17" s="216"/>
      <c r="B17" s="218"/>
      <c r="C17" s="217"/>
      <c r="D17" s="385"/>
      <c r="E17" s="217"/>
      <c r="F17" s="194"/>
      <c r="G17" s="194"/>
      <c r="H17" s="194"/>
    </row>
    <row r="18" spans="1:8">
      <c r="F18" s="70"/>
      <c r="G18" s="70"/>
      <c r="H18" s="70"/>
    </row>
    <row r="19" spans="1:8">
      <c r="F19" s="70"/>
      <c r="G19" s="70"/>
      <c r="H19" s="70"/>
    </row>
    <row r="20" spans="1:8">
      <c r="F20" s="70"/>
      <c r="G20" s="70"/>
      <c r="H20" s="70"/>
    </row>
    <row r="21" spans="1:8">
      <c r="F21" s="70"/>
      <c r="G21" s="70"/>
      <c r="H21" s="70"/>
    </row>
  </sheetData>
  <mergeCells count="1">
    <mergeCell ref="A1:E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selection activeCell="H19" sqref="H19"/>
    </sheetView>
  </sheetViews>
  <sheetFormatPr baseColWidth="10" defaultRowHeight="15"/>
  <cols>
    <col min="1" max="1" width="18" customWidth="1"/>
    <col min="2" max="2" width="27.85546875" customWidth="1"/>
    <col min="3" max="3" width="23" customWidth="1"/>
    <col min="4" max="4" width="22.28515625" customWidth="1"/>
    <col min="5" max="5" width="26.7109375" customWidth="1"/>
    <col min="6" max="6" width="15.85546875" customWidth="1"/>
    <col min="7" max="7" width="15.7109375" customWidth="1"/>
    <col min="8" max="8" width="17.28515625" customWidth="1"/>
  </cols>
  <sheetData>
    <row r="1" spans="1:8" s="195" customFormat="1" ht="33" customHeight="1" thickBot="1">
      <c r="A1" s="452" t="s">
        <v>124</v>
      </c>
      <c r="B1" s="453"/>
      <c r="C1" s="453"/>
      <c r="D1" s="453"/>
      <c r="E1" s="454"/>
      <c r="F1" s="391"/>
      <c r="G1" s="196"/>
      <c r="H1" s="196"/>
    </row>
    <row r="2" spans="1:8" s="61" customFormat="1" ht="19.5" thickBot="1">
      <c r="A2" s="200" t="s">
        <v>0</v>
      </c>
      <c r="B2" s="355" t="s">
        <v>13</v>
      </c>
      <c r="C2" s="200"/>
      <c r="D2" s="200"/>
      <c r="E2" s="340"/>
      <c r="F2" s="300"/>
      <c r="G2" s="193"/>
      <c r="H2" s="193"/>
    </row>
    <row r="3" spans="1:8" ht="15.75">
      <c r="A3" s="203">
        <v>1</v>
      </c>
      <c r="B3" s="251">
        <v>5800</v>
      </c>
      <c r="C3" s="343"/>
      <c r="D3" s="342"/>
      <c r="E3" s="343"/>
      <c r="F3" s="303"/>
      <c r="G3" s="194"/>
      <c r="H3" s="194"/>
    </row>
    <row r="4" spans="1:8" ht="15.75">
      <c r="A4" s="205">
        <v>2</v>
      </c>
      <c r="B4" s="206">
        <v>1000</v>
      </c>
      <c r="C4" s="207"/>
      <c r="D4" s="344"/>
      <c r="E4" s="207"/>
      <c r="F4" s="303"/>
      <c r="G4" s="194"/>
      <c r="H4" s="194"/>
    </row>
    <row r="5" spans="1:8" ht="15.75">
      <c r="A5" s="205">
        <v>3</v>
      </c>
      <c r="B5" s="206">
        <v>5600</v>
      </c>
      <c r="C5" s="207"/>
      <c r="D5" s="344"/>
      <c r="E5" s="207"/>
      <c r="F5" s="303"/>
      <c r="G5" s="194"/>
      <c r="H5" s="194"/>
    </row>
    <row r="6" spans="1:8" ht="15.75">
      <c r="A6" s="205">
        <v>4</v>
      </c>
      <c r="B6" s="206">
        <v>5100</v>
      </c>
      <c r="C6" s="207"/>
      <c r="D6" s="344"/>
      <c r="E6" s="207"/>
      <c r="F6" s="303"/>
      <c r="G6" s="194"/>
      <c r="H6" s="194"/>
    </row>
    <row r="7" spans="1:8" ht="15.75">
      <c r="A7" s="205">
        <v>5</v>
      </c>
      <c r="B7" s="206">
        <v>30000</v>
      </c>
      <c r="C7" s="207"/>
      <c r="D7" s="344"/>
      <c r="E7" s="207"/>
      <c r="F7" s="303"/>
      <c r="G7" s="194"/>
      <c r="H7" s="194"/>
    </row>
    <row r="8" spans="1:8" ht="15.75">
      <c r="A8" s="205">
        <v>6</v>
      </c>
      <c r="B8" s="206">
        <v>5600</v>
      </c>
      <c r="C8" s="207"/>
      <c r="D8" s="344"/>
      <c r="E8" s="207"/>
      <c r="F8" s="303"/>
      <c r="G8" s="194"/>
      <c r="H8" s="194"/>
    </row>
    <row r="9" spans="1:8" ht="15.75">
      <c r="A9" s="205">
        <v>7</v>
      </c>
      <c r="B9" s="206">
        <v>8600</v>
      </c>
      <c r="C9" s="207"/>
      <c r="D9" s="345"/>
      <c r="E9" s="207"/>
      <c r="F9" s="303"/>
      <c r="G9" s="194"/>
      <c r="H9" s="194"/>
    </row>
    <row r="10" spans="1:8" ht="15.75">
      <c r="A10" s="205">
        <v>8</v>
      </c>
      <c r="B10" s="206">
        <v>240000</v>
      </c>
      <c r="C10" s="207"/>
      <c r="D10" s="344"/>
      <c r="E10" s="207"/>
      <c r="F10" s="303"/>
      <c r="G10" s="194"/>
      <c r="H10" s="194"/>
    </row>
    <row r="11" spans="1:8" ht="15.75">
      <c r="A11" s="205">
        <v>9</v>
      </c>
      <c r="B11" s="206">
        <v>28500</v>
      </c>
      <c r="C11" s="207"/>
      <c r="D11" s="344"/>
      <c r="E11" s="207"/>
      <c r="F11" s="303"/>
      <c r="G11" s="194"/>
      <c r="H11" s="194"/>
    </row>
    <row r="12" spans="1:8" ht="15.75">
      <c r="A12" s="205">
        <v>10</v>
      </c>
      <c r="B12" s="206">
        <v>31500</v>
      </c>
      <c r="C12" s="207"/>
      <c r="D12" s="344"/>
      <c r="E12" s="207"/>
      <c r="F12" s="303"/>
      <c r="G12" s="194"/>
      <c r="H12" s="194"/>
    </row>
    <row r="13" spans="1:8" ht="15.75">
      <c r="A13" s="205">
        <v>11</v>
      </c>
      <c r="B13" s="206">
        <v>288000</v>
      </c>
      <c r="C13" s="207"/>
      <c r="D13" s="344"/>
      <c r="E13" s="207"/>
      <c r="F13" s="303"/>
      <c r="G13" s="194"/>
      <c r="H13" s="194"/>
    </row>
    <row r="14" spans="1:8" ht="15.75">
      <c r="A14" s="205">
        <v>12</v>
      </c>
      <c r="B14" s="206">
        <v>35000</v>
      </c>
      <c r="C14" s="207"/>
      <c r="D14" s="344"/>
      <c r="E14" s="207"/>
      <c r="F14" s="303"/>
      <c r="G14" s="194"/>
      <c r="H14" s="194"/>
    </row>
    <row r="15" spans="1:8" ht="15.75">
      <c r="A15" s="205">
        <v>13</v>
      </c>
      <c r="B15" s="206">
        <v>144000</v>
      </c>
      <c r="C15" s="207"/>
      <c r="D15" s="344"/>
      <c r="E15" s="207"/>
      <c r="F15" s="303"/>
      <c r="G15" s="194"/>
      <c r="H15" s="194"/>
    </row>
    <row r="16" spans="1:8" ht="15.75">
      <c r="A16" s="205">
        <v>14</v>
      </c>
      <c r="B16" s="206">
        <v>10200</v>
      </c>
      <c r="C16" s="207"/>
      <c r="D16" s="344"/>
      <c r="E16" s="207"/>
      <c r="F16" s="303"/>
      <c r="G16" s="194"/>
      <c r="H16" s="194"/>
    </row>
    <row r="17" spans="1:8" ht="15.75">
      <c r="A17" s="205">
        <v>15</v>
      </c>
      <c r="B17" s="206">
        <v>12500</v>
      </c>
      <c r="C17" s="207"/>
      <c r="D17" s="344"/>
      <c r="E17" s="207"/>
      <c r="F17" s="303"/>
      <c r="G17" s="194"/>
      <c r="H17" s="194"/>
    </row>
    <row r="18" spans="1:8" ht="15.75">
      <c r="A18" s="205">
        <v>16</v>
      </c>
      <c r="B18" s="206">
        <v>10950</v>
      </c>
      <c r="C18" s="207"/>
      <c r="D18" s="344"/>
      <c r="E18" s="207"/>
      <c r="F18" s="303"/>
      <c r="G18" s="194"/>
      <c r="H18" s="194"/>
    </row>
    <row r="19" spans="1:8" ht="15.75">
      <c r="A19" s="205">
        <v>17</v>
      </c>
      <c r="B19" s="206">
        <v>3000</v>
      </c>
      <c r="C19" s="207"/>
      <c r="D19" s="344"/>
      <c r="E19" s="207"/>
      <c r="F19" s="303"/>
      <c r="G19" s="194"/>
      <c r="H19" s="194"/>
    </row>
    <row r="20" spans="1:8" ht="15.75">
      <c r="A20" s="205">
        <v>18</v>
      </c>
      <c r="B20" s="206">
        <v>33000</v>
      </c>
      <c r="C20" s="207"/>
      <c r="D20" s="344"/>
      <c r="E20" s="207"/>
      <c r="F20" s="303"/>
      <c r="G20" s="194"/>
      <c r="H20" s="194"/>
    </row>
    <row r="21" spans="1:8" ht="16.5" thickBot="1">
      <c r="A21" s="208">
        <v>19</v>
      </c>
      <c r="B21" s="209">
        <v>7500</v>
      </c>
      <c r="C21" s="210"/>
      <c r="D21" s="349"/>
      <c r="E21" s="210"/>
      <c r="F21" s="303"/>
      <c r="G21" s="194"/>
      <c r="H21" s="194"/>
    </row>
    <row r="22" spans="1:8" ht="32.25" thickBot="1">
      <c r="A22" s="392"/>
      <c r="B22" s="393"/>
      <c r="C22" s="212"/>
      <c r="D22" s="389" t="s">
        <v>28</v>
      </c>
      <c r="E22" s="394">
        <f>B3+B4+B5+B6+B7+B8+B9+B10+B11+B12+B13+B14+B15+B16+B17+B18+B20+B21</f>
        <v>902850</v>
      </c>
      <c r="F22" s="303"/>
      <c r="G22" s="194"/>
      <c r="H22" s="194"/>
    </row>
    <row r="23" spans="1:8" ht="16.5" thickBot="1">
      <c r="A23" s="230"/>
      <c r="B23" s="395"/>
      <c r="C23" s="381"/>
      <c r="D23" s="380"/>
      <c r="E23" s="381"/>
      <c r="F23" s="303"/>
      <c r="G23" s="194"/>
      <c r="H23" s="194"/>
    </row>
    <row r="24" spans="1:8">
      <c r="F24" s="70"/>
      <c r="G24" s="70"/>
      <c r="H24" s="70"/>
    </row>
    <row r="25" spans="1:8">
      <c r="F25" s="70"/>
      <c r="G25" s="70"/>
      <c r="H25" s="70"/>
    </row>
    <row r="26" spans="1:8">
      <c r="F26" s="70"/>
      <c r="G26" s="70"/>
      <c r="H26" s="70"/>
    </row>
    <row r="27" spans="1:8">
      <c r="F27" s="70"/>
      <c r="G27" s="70"/>
      <c r="H27" s="70"/>
    </row>
  </sheetData>
  <mergeCells count="1">
    <mergeCell ref="A1:E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H18" sqref="H18"/>
    </sheetView>
  </sheetViews>
  <sheetFormatPr baseColWidth="10" defaultRowHeight="15"/>
  <cols>
    <col min="1" max="1" width="13.140625" customWidth="1"/>
    <col min="2" max="2" width="36.7109375" customWidth="1"/>
    <col min="3" max="3" width="9.7109375" customWidth="1"/>
    <col min="4" max="5" width="31.7109375" customWidth="1"/>
    <col min="6" max="6" width="15.85546875" customWidth="1"/>
    <col min="7" max="7" width="15.7109375" customWidth="1"/>
    <col min="8" max="8" width="17.28515625" customWidth="1"/>
  </cols>
  <sheetData>
    <row r="1" spans="1:8" ht="15.75" thickBot="1"/>
    <row r="2" spans="1:8" s="195" customFormat="1" ht="33" customHeight="1" thickBot="1">
      <c r="A2" s="457" t="s">
        <v>143</v>
      </c>
      <c r="B2" s="458"/>
      <c r="C2" s="458"/>
      <c r="D2" s="458"/>
      <c r="E2" s="459"/>
      <c r="F2" s="196"/>
      <c r="G2" s="196"/>
      <c r="H2" s="196"/>
    </row>
    <row r="3" spans="1:8" s="195" customFormat="1" ht="33" customHeight="1" thickBot="1">
      <c r="A3" s="460" t="s">
        <v>144</v>
      </c>
      <c r="B3" s="461"/>
      <c r="C3" s="461"/>
      <c r="D3" s="461"/>
      <c r="E3" s="462"/>
      <c r="F3" s="196"/>
      <c r="G3" s="196"/>
      <c r="H3" s="196"/>
    </row>
    <row r="4" spans="1:8" s="61" customFormat="1" ht="25.5" thickBot="1">
      <c r="A4" s="396" t="s">
        <v>0</v>
      </c>
      <c r="B4" s="397" t="s">
        <v>121</v>
      </c>
      <c r="C4" s="200"/>
      <c r="D4" s="398" t="s">
        <v>119</v>
      </c>
      <c r="E4" s="399" t="s">
        <v>120</v>
      </c>
      <c r="F4" s="193"/>
      <c r="G4" s="193"/>
      <c r="H4" s="193"/>
    </row>
    <row r="5" spans="1:8" s="250" customFormat="1" ht="15.75">
      <c r="A5" s="400">
        <v>1</v>
      </c>
      <c r="B5" s="251">
        <v>380000</v>
      </c>
      <c r="C5" s="401"/>
      <c r="D5" s="251">
        <v>1121000</v>
      </c>
      <c r="E5" s="204">
        <v>2700000</v>
      </c>
      <c r="F5" s="249"/>
      <c r="G5" s="249"/>
      <c r="H5" s="249"/>
    </row>
    <row r="6" spans="1:8" s="250" customFormat="1" ht="15.75">
      <c r="A6" s="18">
        <v>2</v>
      </c>
      <c r="B6" s="206">
        <v>751200</v>
      </c>
      <c r="C6" s="402"/>
      <c r="D6" s="206">
        <v>199000</v>
      </c>
      <c r="E6" s="402"/>
      <c r="F6" s="249"/>
      <c r="G6" s="249"/>
      <c r="H6" s="249"/>
    </row>
    <row r="7" spans="1:8" s="250" customFormat="1" ht="16.5" thickBot="1">
      <c r="A7" s="24">
        <v>3</v>
      </c>
      <c r="B7" s="209"/>
      <c r="C7" s="403"/>
      <c r="D7" s="209">
        <v>100000</v>
      </c>
      <c r="E7" s="403"/>
      <c r="F7" s="249"/>
      <c r="G7" s="249"/>
      <c r="H7" s="249"/>
    </row>
    <row r="8" spans="1:8" s="250" customFormat="1" ht="25.5" thickBot="1">
      <c r="A8" s="404" t="s">
        <v>28</v>
      </c>
      <c r="B8" s="353">
        <f>B5+B6</f>
        <v>1131200</v>
      </c>
      <c r="C8" s="405"/>
      <c r="D8" s="353">
        <f>D5+D6+D7</f>
        <v>1420000</v>
      </c>
      <c r="E8" s="405">
        <f>E5</f>
        <v>2700000</v>
      </c>
      <c r="F8" s="249"/>
      <c r="G8" s="249"/>
      <c r="H8" s="249"/>
    </row>
    <row r="9" spans="1:8" ht="15.75">
      <c r="A9" s="213"/>
      <c r="B9" s="214"/>
      <c r="C9" s="215"/>
      <c r="D9" s="376"/>
      <c r="E9" s="215"/>
      <c r="F9" s="194"/>
      <c r="G9" s="194"/>
      <c r="H9" s="194"/>
    </row>
    <row r="10" spans="1:8" ht="15.75">
      <c r="A10" s="205"/>
      <c r="B10" s="206"/>
      <c r="C10" s="207"/>
      <c r="D10" s="344"/>
      <c r="E10" s="207"/>
      <c r="F10" s="194"/>
      <c r="G10" s="194"/>
      <c r="H10" s="194"/>
    </row>
    <row r="11" spans="1:8" ht="15.75">
      <c r="A11" s="205"/>
      <c r="B11" s="206"/>
      <c r="C11" s="207"/>
      <c r="D11" s="345"/>
      <c r="E11" s="207"/>
      <c r="F11" s="194"/>
      <c r="G11" s="194"/>
      <c r="H11" s="194"/>
    </row>
    <row r="12" spans="1:8" ht="15.75">
      <c r="A12" s="205"/>
      <c r="B12" s="206"/>
      <c r="C12" s="207"/>
      <c r="D12" s="344"/>
      <c r="E12" s="207"/>
      <c r="F12" s="194"/>
      <c r="G12" s="194"/>
      <c r="H12" s="194"/>
    </row>
    <row r="13" spans="1:8" ht="15.75">
      <c r="A13" s="205"/>
      <c r="B13" s="206"/>
      <c r="C13" s="207"/>
      <c r="D13" s="344"/>
      <c r="E13" s="207"/>
      <c r="F13" s="194"/>
      <c r="G13" s="194"/>
      <c r="H13" s="194"/>
    </row>
    <row r="14" spans="1:8" ht="15.75">
      <c r="A14" s="205"/>
      <c r="B14" s="206"/>
      <c r="C14" s="207"/>
      <c r="D14" s="344"/>
      <c r="E14" s="207"/>
      <c r="F14" s="194"/>
      <c r="G14" s="194"/>
      <c r="H14" s="194"/>
    </row>
    <row r="15" spans="1:8" ht="15.75">
      <c r="A15" s="205"/>
      <c r="B15" s="206"/>
      <c r="C15" s="207"/>
      <c r="D15" s="344"/>
      <c r="E15" s="207"/>
      <c r="F15" s="194"/>
      <c r="G15" s="194"/>
      <c r="H15" s="194"/>
    </row>
    <row r="16" spans="1:8" ht="15.75">
      <c r="A16" s="205"/>
      <c r="B16" s="206"/>
      <c r="C16" s="207"/>
      <c r="D16" s="344"/>
      <c r="E16" s="207"/>
      <c r="F16" s="194"/>
      <c r="G16" s="194"/>
      <c r="H16" s="194"/>
    </row>
    <row r="17" spans="1:8" ht="15.75">
      <c r="A17" s="205"/>
      <c r="B17" s="206"/>
      <c r="C17" s="207"/>
      <c r="D17" s="344"/>
      <c r="E17" s="207"/>
      <c r="F17" s="194"/>
      <c r="G17" s="194"/>
      <c r="H17" s="194"/>
    </row>
    <row r="18" spans="1:8" ht="15.75">
      <c r="A18" s="205"/>
      <c r="B18" s="206"/>
      <c r="C18" s="207"/>
      <c r="D18" s="344"/>
      <c r="E18" s="207"/>
      <c r="F18" s="194"/>
      <c r="G18" s="194"/>
      <c r="H18" s="194"/>
    </row>
    <row r="19" spans="1:8" ht="15.75">
      <c r="A19" s="205"/>
      <c r="B19" s="206"/>
      <c r="C19" s="207"/>
      <c r="D19" s="344"/>
      <c r="E19" s="207"/>
      <c r="F19" s="194"/>
      <c r="G19" s="194"/>
      <c r="H19" s="194"/>
    </row>
    <row r="20" spans="1:8" ht="16.5" thickBot="1">
      <c r="A20" s="208"/>
      <c r="B20" s="209"/>
      <c r="C20" s="210"/>
      <c r="D20" s="349"/>
      <c r="E20" s="210"/>
      <c r="F20" s="194"/>
      <c r="G20" s="194"/>
      <c r="H20" s="194"/>
    </row>
    <row r="21" spans="1:8" ht="27.75" thickBot="1">
      <c r="A21" s="211"/>
      <c r="B21" s="383"/>
      <c r="C21" s="212"/>
      <c r="D21" s="406" t="s">
        <v>145</v>
      </c>
      <c r="E21" s="407">
        <f>B8+D8+E8</f>
        <v>5251200</v>
      </c>
      <c r="F21" s="194"/>
      <c r="G21" s="194"/>
      <c r="H21" s="194"/>
    </row>
    <row r="22" spans="1:8" ht="15.75">
      <c r="A22" s="213"/>
      <c r="B22" s="214"/>
      <c r="C22" s="215"/>
      <c r="D22" s="376"/>
      <c r="E22" s="215"/>
      <c r="F22" s="194"/>
      <c r="G22" s="194"/>
      <c r="H22" s="194"/>
    </row>
    <row r="23" spans="1:8" ht="15.75">
      <c r="A23" s="205"/>
      <c r="B23" s="206"/>
      <c r="C23" s="207"/>
      <c r="D23" s="344"/>
      <c r="E23" s="207"/>
      <c r="F23" s="194"/>
      <c r="G23" s="194"/>
      <c r="H23" s="194"/>
    </row>
    <row r="24" spans="1:8" ht="16.5" thickBot="1">
      <c r="A24" s="216"/>
      <c r="B24" s="218"/>
      <c r="C24" s="217"/>
      <c r="D24" s="385"/>
      <c r="E24" s="217"/>
      <c r="F24" s="194"/>
      <c r="G24" s="194"/>
      <c r="H24" s="194"/>
    </row>
    <row r="25" spans="1:8">
      <c r="F25" s="70"/>
      <c r="G25" s="70"/>
      <c r="H25" s="70"/>
    </row>
    <row r="26" spans="1:8">
      <c r="F26" s="70"/>
      <c r="G26" s="70"/>
      <c r="H26" s="70"/>
    </row>
    <row r="27" spans="1:8">
      <c r="F27" s="70"/>
      <c r="G27" s="70"/>
      <c r="H27" s="70"/>
    </row>
    <row r="28" spans="1:8">
      <c r="F28" s="70"/>
      <c r="G28" s="70"/>
      <c r="H28" s="70"/>
    </row>
  </sheetData>
  <mergeCells count="2">
    <mergeCell ref="A2:E2"/>
    <mergeCell ref="A3:E3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activeCell="G21" sqref="G21"/>
    </sheetView>
  </sheetViews>
  <sheetFormatPr baseColWidth="10" defaultRowHeight="15"/>
  <cols>
    <col min="1" max="1" width="6.7109375" customWidth="1"/>
    <col min="2" max="2" width="25.5703125" customWidth="1"/>
    <col min="3" max="3" width="24.140625" customWidth="1"/>
    <col min="4" max="5" width="31.85546875" customWidth="1"/>
    <col min="6" max="6" width="15.85546875" customWidth="1"/>
    <col min="7" max="7" width="15.7109375" customWidth="1"/>
    <col min="8" max="8" width="17.28515625" customWidth="1"/>
  </cols>
  <sheetData>
    <row r="1" spans="1:8" s="195" customFormat="1" ht="33" customHeight="1" thickBot="1">
      <c r="A1" s="460" t="s">
        <v>125</v>
      </c>
      <c r="B1" s="461"/>
      <c r="C1" s="461"/>
      <c r="D1" s="461"/>
      <c r="E1" s="462"/>
      <c r="F1" s="196"/>
      <c r="G1" s="196"/>
      <c r="H1" s="196"/>
    </row>
    <row r="2" spans="1:8" s="61" customFormat="1" ht="19.5" thickBot="1">
      <c r="A2" s="200" t="s">
        <v>0</v>
      </c>
      <c r="B2" s="201"/>
      <c r="C2" s="200" t="s">
        <v>141</v>
      </c>
      <c r="D2" s="463" t="s">
        <v>134</v>
      </c>
      <c r="E2" s="464"/>
      <c r="F2" s="193"/>
      <c r="G2" s="193"/>
      <c r="H2" s="193"/>
    </row>
    <row r="3" spans="1:8" ht="16.5" thickBot="1">
      <c r="A3" s="203">
        <v>1</v>
      </c>
      <c r="B3" s="251"/>
      <c r="C3" s="252" t="s">
        <v>135</v>
      </c>
      <c r="D3" s="253">
        <v>329000</v>
      </c>
      <c r="E3" s="204"/>
      <c r="F3" s="194"/>
      <c r="G3" s="194"/>
      <c r="H3" s="194"/>
    </row>
    <row r="4" spans="1:8" ht="16.5" thickBot="1">
      <c r="A4" s="205">
        <v>2</v>
      </c>
      <c r="B4" s="206"/>
      <c r="C4" s="252" t="s">
        <v>136</v>
      </c>
      <c r="D4" s="40">
        <v>400000</v>
      </c>
      <c r="E4" s="207"/>
      <c r="F4" s="194"/>
      <c r="G4" s="194"/>
      <c r="H4" s="194"/>
    </row>
    <row r="5" spans="1:8" ht="16.5" thickBot="1">
      <c r="A5" s="205">
        <v>3</v>
      </c>
      <c r="B5" s="206"/>
      <c r="C5" s="252" t="s">
        <v>137</v>
      </c>
      <c r="D5" s="40">
        <v>80000</v>
      </c>
      <c r="E5" s="207"/>
      <c r="F5" s="194"/>
      <c r="G5" s="194"/>
      <c r="H5" s="194"/>
    </row>
    <row r="6" spans="1:8" ht="16.5" thickBot="1">
      <c r="A6" s="205">
        <v>4</v>
      </c>
      <c r="B6" s="206"/>
      <c r="C6" s="252" t="s">
        <v>138</v>
      </c>
      <c r="D6" s="220">
        <v>500000</v>
      </c>
      <c r="E6" s="207"/>
      <c r="F6" s="194"/>
      <c r="G6" s="194"/>
      <c r="H6" s="194"/>
    </row>
    <row r="7" spans="1:8" ht="16.5" thickBot="1">
      <c r="A7" s="205">
        <v>5</v>
      </c>
      <c r="B7" s="206"/>
      <c r="C7" s="252" t="s">
        <v>139</v>
      </c>
      <c r="D7" s="40">
        <v>100000</v>
      </c>
      <c r="E7" s="207"/>
      <c r="F7" s="194"/>
      <c r="G7" s="194"/>
      <c r="H7" s="194"/>
    </row>
    <row r="8" spans="1:8" ht="16.5" thickBot="1">
      <c r="A8" s="205">
        <v>6</v>
      </c>
      <c r="B8" s="209"/>
      <c r="C8" s="252" t="s">
        <v>140</v>
      </c>
      <c r="D8" s="220">
        <v>200000</v>
      </c>
      <c r="E8" s="210"/>
      <c r="F8" s="194"/>
      <c r="G8" s="194"/>
      <c r="H8" s="194"/>
    </row>
    <row r="9" spans="1:8" ht="35.25" customHeight="1" thickBot="1">
      <c r="A9" s="205">
        <v>7</v>
      </c>
      <c r="B9" s="254"/>
      <c r="C9" s="255" t="s">
        <v>28</v>
      </c>
      <c r="D9" s="257">
        <f>D3+D4+D5+D6+D7+D8</f>
        <v>1609000</v>
      </c>
      <c r="E9" s="212"/>
      <c r="F9" s="194"/>
      <c r="G9" s="194"/>
      <c r="H9" s="194"/>
    </row>
    <row r="10" spans="1:8" ht="15.75">
      <c r="A10" s="205">
        <v>8</v>
      </c>
      <c r="B10" s="214"/>
      <c r="C10" s="215"/>
      <c r="D10" s="376"/>
      <c r="E10" s="215"/>
      <c r="F10" s="194"/>
      <c r="G10" s="194"/>
      <c r="H10" s="194"/>
    </row>
    <row r="11" spans="1:8" ht="15.75">
      <c r="A11" s="205">
        <v>9</v>
      </c>
      <c r="B11" s="206"/>
      <c r="C11" s="207"/>
      <c r="D11" s="344"/>
      <c r="E11" s="207"/>
      <c r="F11" s="194"/>
      <c r="G11" s="194"/>
      <c r="H11" s="194"/>
    </row>
    <row r="12" spans="1:8" ht="15.75">
      <c r="A12" s="205">
        <v>10</v>
      </c>
      <c r="B12" s="206"/>
      <c r="C12" s="207"/>
      <c r="D12" s="344"/>
      <c r="E12" s="207"/>
      <c r="F12" s="194"/>
      <c r="G12" s="194"/>
      <c r="H12" s="194"/>
    </row>
    <row r="13" spans="1:8" ht="15.75">
      <c r="A13" s="205">
        <v>11</v>
      </c>
      <c r="B13" s="206"/>
      <c r="C13" s="207"/>
      <c r="D13" s="344"/>
      <c r="E13" s="207"/>
      <c r="F13" s="194"/>
      <c r="G13" s="194"/>
      <c r="H13" s="194"/>
    </row>
    <row r="14" spans="1:8" ht="15.75">
      <c r="A14" s="205">
        <v>12</v>
      </c>
      <c r="B14" s="206"/>
      <c r="C14" s="207"/>
      <c r="D14" s="344"/>
      <c r="E14" s="207"/>
      <c r="F14" s="194"/>
      <c r="G14" s="194"/>
      <c r="H14" s="194"/>
    </row>
    <row r="15" spans="1:8" ht="15.75">
      <c r="A15" s="205">
        <v>13</v>
      </c>
      <c r="B15" s="206"/>
      <c r="C15" s="207"/>
      <c r="D15" s="344"/>
      <c r="E15" s="207"/>
      <c r="F15" s="194"/>
      <c r="G15" s="194"/>
      <c r="H15" s="194"/>
    </row>
    <row r="16" spans="1:8" ht="15.75">
      <c r="A16" s="205">
        <v>14</v>
      </c>
      <c r="B16" s="206"/>
      <c r="C16" s="207"/>
      <c r="D16" s="344"/>
      <c r="E16" s="207"/>
      <c r="F16" s="194"/>
      <c r="G16" s="194"/>
      <c r="H16" s="194"/>
    </row>
    <row r="17" spans="1:8" ht="15.75">
      <c r="A17" s="205">
        <v>15</v>
      </c>
      <c r="B17" s="206"/>
      <c r="C17" s="207"/>
      <c r="D17" s="344"/>
      <c r="E17" s="207"/>
      <c r="F17" s="194"/>
      <c r="G17" s="194"/>
      <c r="H17" s="194"/>
    </row>
    <row r="18" spans="1:8" ht="15.75">
      <c r="A18" s="205">
        <v>16</v>
      </c>
      <c r="B18" s="206"/>
      <c r="C18" s="207"/>
      <c r="D18" s="344"/>
      <c r="E18" s="207"/>
      <c r="F18" s="194"/>
      <c r="G18" s="194"/>
      <c r="H18" s="194"/>
    </row>
    <row r="19" spans="1:8" ht="15.75">
      <c r="A19" s="205">
        <v>17</v>
      </c>
      <c r="B19" s="206"/>
      <c r="C19" s="207"/>
      <c r="D19" s="344"/>
      <c r="E19" s="207"/>
      <c r="F19" s="194"/>
      <c r="G19" s="194"/>
      <c r="H19" s="194"/>
    </row>
    <row r="20" spans="1:8" ht="16.5" thickBot="1">
      <c r="A20" s="216">
        <v>18</v>
      </c>
      <c r="B20" s="218"/>
      <c r="C20" s="217"/>
      <c r="D20" s="385"/>
      <c r="E20" s="217"/>
      <c r="F20" s="194"/>
      <c r="G20" s="194"/>
      <c r="H20" s="194"/>
    </row>
    <row r="21" spans="1:8">
      <c r="F21" s="70"/>
      <c r="G21" s="70"/>
      <c r="H21" s="70"/>
    </row>
    <row r="22" spans="1:8">
      <c r="F22" s="70"/>
      <c r="G22" s="70"/>
      <c r="H22" s="70"/>
    </row>
    <row r="23" spans="1:8">
      <c r="F23" s="70"/>
      <c r="G23" s="70"/>
      <c r="H23" s="70"/>
    </row>
    <row r="24" spans="1:8">
      <c r="F24" s="70"/>
      <c r="G24" s="70"/>
      <c r="H24" s="70"/>
    </row>
  </sheetData>
  <mergeCells count="2">
    <mergeCell ref="A1:E1"/>
    <mergeCell ref="D2:E2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G12" sqref="G12"/>
    </sheetView>
  </sheetViews>
  <sheetFormatPr baseColWidth="10" defaultRowHeight="15"/>
  <cols>
    <col min="1" max="1" width="52.28515625" customWidth="1"/>
    <col min="2" max="2" width="18.85546875" customWidth="1"/>
    <col min="3" max="3" width="20.7109375" customWidth="1"/>
    <col min="4" max="4" width="31.5703125" customWidth="1"/>
    <col min="5" max="5" width="15.85546875" customWidth="1"/>
    <col min="6" max="6" width="15.7109375" customWidth="1"/>
    <col min="7" max="7" width="17.28515625" customWidth="1"/>
  </cols>
  <sheetData>
    <row r="1" spans="1:7" s="195" customFormat="1" ht="33" customHeight="1" thickBot="1">
      <c r="A1" s="449" t="s">
        <v>126</v>
      </c>
      <c r="B1" s="450"/>
      <c r="C1" s="450"/>
      <c r="D1" s="451"/>
      <c r="E1" s="196"/>
      <c r="F1" s="196"/>
      <c r="G1" s="196"/>
    </row>
    <row r="2" spans="1:7" s="61" customFormat="1" ht="21.75" thickBot="1">
      <c r="A2" s="223" t="s">
        <v>133</v>
      </c>
      <c r="B2" s="241" t="s">
        <v>132</v>
      </c>
      <c r="C2" s="223" t="s">
        <v>131</v>
      </c>
      <c r="D2" s="223" t="s">
        <v>13</v>
      </c>
      <c r="E2" s="193"/>
      <c r="F2" s="193"/>
      <c r="G2" s="193"/>
    </row>
    <row r="3" spans="1:7" ht="18.75">
      <c r="A3" s="235" t="s">
        <v>127</v>
      </c>
      <c r="B3" s="229">
        <v>39473</v>
      </c>
      <c r="C3" s="228">
        <v>380</v>
      </c>
      <c r="D3" s="225">
        <f>B3*C3</f>
        <v>14999740</v>
      </c>
      <c r="E3" s="194"/>
      <c r="F3" s="194"/>
      <c r="G3" s="194"/>
    </row>
    <row r="4" spans="1:7" ht="15.75">
      <c r="A4" s="236" t="s">
        <v>128</v>
      </c>
      <c r="B4" s="226"/>
      <c r="C4" s="221"/>
      <c r="D4" s="226"/>
      <c r="E4" s="194"/>
      <c r="F4" s="194"/>
      <c r="G4" s="194"/>
    </row>
    <row r="5" spans="1:7" ht="16.5" thickBot="1">
      <c r="A5" s="230"/>
      <c r="B5" s="227"/>
      <c r="C5" s="222"/>
      <c r="D5" s="227"/>
      <c r="E5" s="194"/>
      <c r="F5" s="194"/>
      <c r="G5" s="194"/>
    </row>
    <row r="6" spans="1:7" ht="15.75">
      <c r="A6" s="213"/>
      <c r="B6" s="214"/>
      <c r="C6" s="215"/>
      <c r="D6" s="231"/>
      <c r="E6" s="194"/>
      <c r="F6" s="194"/>
      <c r="G6" s="194"/>
    </row>
    <row r="7" spans="1:7" ht="15.75">
      <c r="A7" s="205"/>
      <c r="B7" s="206"/>
      <c r="C7" s="207"/>
      <c r="D7" s="232"/>
      <c r="E7" s="194"/>
      <c r="F7" s="194"/>
      <c r="G7" s="194"/>
    </row>
    <row r="8" spans="1:7" ht="15.75">
      <c r="A8" s="205"/>
      <c r="B8" s="206"/>
      <c r="C8" s="207"/>
      <c r="D8" s="232"/>
      <c r="E8" s="194"/>
      <c r="F8" s="194"/>
      <c r="G8" s="194"/>
    </row>
    <row r="9" spans="1:7" ht="16.5" thickBot="1">
      <c r="A9" s="208"/>
      <c r="B9" s="209"/>
      <c r="C9" s="210"/>
      <c r="D9" s="233"/>
      <c r="E9" s="194"/>
      <c r="F9" s="194"/>
      <c r="G9" s="194"/>
    </row>
    <row r="10" spans="1:7" ht="27.75" thickBot="1">
      <c r="A10" s="237"/>
      <c r="B10" s="238"/>
      <c r="C10" s="239" t="s">
        <v>28</v>
      </c>
      <c r="D10" s="242">
        <f>D3</f>
        <v>14999740</v>
      </c>
      <c r="E10" s="194"/>
      <c r="F10" s="194"/>
      <c r="G10" s="194"/>
    </row>
    <row r="11" spans="1:7" ht="15.75" customHeight="1">
      <c r="A11" s="465" t="s">
        <v>129</v>
      </c>
      <c r="B11" s="466"/>
      <c r="C11" s="466"/>
      <c r="D11" s="467"/>
      <c r="E11" s="194"/>
      <c r="F11" s="194"/>
      <c r="G11" s="194"/>
    </row>
    <row r="12" spans="1:7" ht="15.75" customHeight="1">
      <c r="A12" s="468"/>
      <c r="B12" s="469"/>
      <c r="C12" s="469"/>
      <c r="D12" s="470"/>
      <c r="E12" s="194"/>
      <c r="F12" s="194"/>
      <c r="G12" s="194"/>
    </row>
    <row r="13" spans="1:7" s="128" customFormat="1" ht="21.75" customHeight="1" thickBot="1">
      <c r="A13" s="471" t="s">
        <v>130</v>
      </c>
      <c r="B13" s="472"/>
      <c r="C13" s="472"/>
      <c r="D13" s="473"/>
      <c r="E13" s="240"/>
      <c r="F13" s="240"/>
      <c r="G13" s="240"/>
    </row>
    <row r="14" spans="1:7" ht="15.75">
      <c r="A14" s="213"/>
      <c r="B14" s="214"/>
      <c r="C14" s="215"/>
      <c r="D14" s="231"/>
      <c r="E14" s="194"/>
      <c r="F14" s="194"/>
      <c r="G14" s="194"/>
    </row>
    <row r="15" spans="1:7" ht="15.75">
      <c r="A15" s="205"/>
      <c r="B15" s="206"/>
      <c r="C15" s="207"/>
      <c r="D15" s="232"/>
      <c r="E15" s="194"/>
      <c r="F15" s="194"/>
      <c r="G15" s="194"/>
    </row>
    <row r="16" spans="1:7" ht="15.75">
      <c r="A16" s="205"/>
      <c r="B16" s="206"/>
      <c r="C16" s="207"/>
      <c r="D16" s="232"/>
      <c r="E16" s="194"/>
      <c r="F16" s="194"/>
      <c r="G16" s="194"/>
    </row>
    <row r="17" spans="1:7" ht="15.75">
      <c r="A17" s="205"/>
      <c r="B17" s="206"/>
      <c r="C17" s="207"/>
      <c r="D17" s="232"/>
      <c r="E17" s="194"/>
      <c r="F17" s="194"/>
      <c r="G17" s="194"/>
    </row>
    <row r="18" spans="1:7" ht="15.75">
      <c r="A18" s="205"/>
      <c r="B18" s="206"/>
      <c r="C18" s="207"/>
      <c r="D18" s="232"/>
      <c r="E18" s="194"/>
      <c r="F18" s="194"/>
      <c r="G18" s="194"/>
    </row>
    <row r="19" spans="1:7" ht="15.75">
      <c r="A19" s="205"/>
      <c r="B19" s="206"/>
      <c r="C19" s="207"/>
      <c r="D19" s="232"/>
      <c r="E19" s="194"/>
      <c r="F19" s="194"/>
      <c r="G19" s="194"/>
    </row>
    <row r="20" spans="1:7" ht="15.75">
      <c r="A20" s="205"/>
      <c r="B20" s="206"/>
      <c r="C20" s="207"/>
      <c r="D20" s="232"/>
      <c r="E20" s="194"/>
      <c r="F20" s="194"/>
      <c r="G20" s="194"/>
    </row>
    <row r="21" spans="1:7" ht="15.75">
      <c r="A21" s="205"/>
      <c r="B21" s="206"/>
      <c r="C21" s="207"/>
      <c r="D21" s="232"/>
      <c r="E21" s="194"/>
      <c r="F21" s="194"/>
      <c r="G21" s="194"/>
    </row>
    <row r="22" spans="1:7" ht="16.5" thickBot="1">
      <c r="A22" s="216"/>
      <c r="B22" s="218"/>
      <c r="C22" s="217"/>
      <c r="D22" s="234"/>
      <c r="E22" s="194"/>
      <c r="F22" s="194"/>
      <c r="G22" s="194"/>
    </row>
    <row r="23" spans="1:7">
      <c r="E23" s="70"/>
      <c r="F23" s="70"/>
      <c r="G23" s="70"/>
    </row>
    <row r="24" spans="1:7">
      <c r="E24" s="70"/>
      <c r="F24" s="70"/>
      <c r="G24" s="70"/>
    </row>
    <row r="25" spans="1:7">
      <c r="E25" s="70"/>
      <c r="F25" s="70"/>
      <c r="G25" s="70"/>
    </row>
    <row r="26" spans="1:7">
      <c r="E26" s="70"/>
      <c r="F26" s="70"/>
      <c r="G26" s="70"/>
    </row>
  </sheetData>
  <mergeCells count="3">
    <mergeCell ref="A1:D1"/>
    <mergeCell ref="A11:D12"/>
    <mergeCell ref="A13:D13"/>
  </mergeCells>
  <pageMargins left="0.43" right="0.34" top="0.28000000000000003" bottom="0.32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C9" sqref="C9"/>
    </sheetView>
  </sheetViews>
  <sheetFormatPr baseColWidth="10" defaultRowHeight="15"/>
  <cols>
    <col min="1" max="1" width="6.7109375" customWidth="1"/>
    <col min="2" max="2" width="52.42578125" customWidth="1"/>
    <col min="3" max="3" width="26.7109375" customWidth="1"/>
    <col min="4" max="4" width="36.85546875" customWidth="1"/>
    <col min="5" max="5" width="15.85546875" customWidth="1"/>
    <col min="6" max="6" width="15.7109375" customWidth="1"/>
    <col min="7" max="7" width="17.28515625" customWidth="1"/>
  </cols>
  <sheetData>
    <row r="1" spans="1:7" s="195" customFormat="1" ht="33" customHeight="1" thickBot="1">
      <c r="A1" s="449" t="s">
        <v>173</v>
      </c>
      <c r="B1" s="450"/>
      <c r="C1" s="450"/>
      <c r="D1" s="451"/>
      <c r="E1" s="196"/>
      <c r="F1" s="196"/>
      <c r="G1" s="196"/>
    </row>
    <row r="2" spans="1:7" s="61" customFormat="1" ht="19.5" thickBot="1">
      <c r="A2" s="200" t="s">
        <v>0</v>
      </c>
      <c r="B2" s="202" t="s">
        <v>174</v>
      </c>
      <c r="C2" s="200" t="s">
        <v>2</v>
      </c>
      <c r="D2" s="200" t="s">
        <v>13</v>
      </c>
      <c r="E2" s="193"/>
      <c r="F2" s="193"/>
      <c r="G2" s="193"/>
    </row>
    <row r="3" spans="1:7" ht="19.5" thickBot="1">
      <c r="A3" s="279">
        <v>1</v>
      </c>
      <c r="B3" s="280" t="s">
        <v>176</v>
      </c>
      <c r="C3" s="287">
        <v>42691</v>
      </c>
      <c r="D3" s="225">
        <v>651006.71999999997</v>
      </c>
      <c r="E3" s="194"/>
      <c r="F3" s="194"/>
      <c r="G3" s="194"/>
    </row>
    <row r="4" spans="1:7" ht="19.5" thickBot="1">
      <c r="A4" s="281">
        <v>2</v>
      </c>
      <c r="B4" s="282" t="s">
        <v>175</v>
      </c>
      <c r="C4" s="287">
        <v>42857</v>
      </c>
      <c r="D4" s="283">
        <v>397281.06</v>
      </c>
      <c r="E4" s="194"/>
      <c r="F4" s="194"/>
      <c r="G4" s="194"/>
    </row>
    <row r="5" spans="1:7" ht="19.5" thickBot="1">
      <c r="A5" s="284">
        <v>3</v>
      </c>
      <c r="B5" s="224" t="s">
        <v>177</v>
      </c>
      <c r="C5" s="287">
        <v>43191</v>
      </c>
      <c r="D5" s="283">
        <v>766243.23</v>
      </c>
      <c r="E5" s="194"/>
      <c r="F5" s="194"/>
      <c r="G5" s="194"/>
    </row>
    <row r="6" spans="1:7" ht="19.5" thickBot="1">
      <c r="A6" s="281">
        <v>4</v>
      </c>
      <c r="B6" s="282"/>
      <c r="C6" s="286"/>
      <c r="D6" s="285"/>
      <c r="E6" s="194"/>
      <c r="F6" s="194"/>
      <c r="G6" s="194"/>
    </row>
    <row r="7" spans="1:7" ht="19.5" thickBot="1">
      <c r="A7" s="284">
        <v>5</v>
      </c>
      <c r="B7" s="224"/>
      <c r="C7" s="286"/>
      <c r="D7" s="283"/>
      <c r="E7" s="194"/>
      <c r="F7" s="194"/>
      <c r="G7" s="194"/>
    </row>
    <row r="8" spans="1:7" ht="19.5" thickBot="1">
      <c r="A8" s="281">
        <v>6</v>
      </c>
      <c r="B8" s="282"/>
      <c r="C8" s="286"/>
      <c r="D8" s="285"/>
      <c r="E8" s="194"/>
      <c r="F8" s="194"/>
      <c r="G8" s="194"/>
    </row>
    <row r="9" spans="1:7" ht="35.25" customHeight="1" thickBot="1">
      <c r="A9" s="213">
        <v>7</v>
      </c>
      <c r="B9" s="274"/>
      <c r="C9" s="288" t="s">
        <v>28</v>
      </c>
      <c r="D9" s="276">
        <f>D3+D4+D5</f>
        <v>1814531.01</v>
      </c>
      <c r="E9" s="194"/>
      <c r="F9" s="194"/>
      <c r="G9" s="194"/>
    </row>
    <row r="10" spans="1:7" ht="15.75">
      <c r="A10" s="184">
        <v>8</v>
      </c>
      <c r="B10" s="198"/>
      <c r="C10" s="197"/>
      <c r="D10" s="277"/>
      <c r="E10" s="194"/>
      <c r="F10" s="194"/>
      <c r="G10" s="194"/>
    </row>
    <row r="11" spans="1:7" ht="15.75">
      <c r="A11" s="184">
        <v>9</v>
      </c>
      <c r="B11" s="190"/>
      <c r="C11" s="188"/>
      <c r="D11" s="258"/>
      <c r="E11" s="194"/>
      <c r="F11" s="194"/>
      <c r="G11" s="194"/>
    </row>
    <row r="12" spans="1:7" ht="15.75">
      <c r="A12" s="184">
        <v>10</v>
      </c>
      <c r="B12" s="190"/>
      <c r="C12" s="188"/>
      <c r="D12" s="258"/>
      <c r="E12" s="194"/>
      <c r="F12" s="194"/>
      <c r="G12" s="194"/>
    </row>
    <row r="13" spans="1:7" ht="15.75">
      <c r="A13" s="184">
        <v>11</v>
      </c>
      <c r="B13" s="190"/>
      <c r="C13" s="188"/>
      <c r="D13" s="258"/>
      <c r="E13" s="194"/>
      <c r="F13" s="194"/>
      <c r="G13" s="194"/>
    </row>
    <row r="14" spans="1:7" ht="15.75">
      <c r="A14" s="184">
        <v>12</v>
      </c>
      <c r="B14" s="190"/>
      <c r="C14" s="188"/>
      <c r="D14" s="258"/>
      <c r="E14" s="194"/>
      <c r="F14" s="194"/>
      <c r="G14" s="194"/>
    </row>
    <row r="15" spans="1:7" ht="15.75">
      <c r="A15" s="184">
        <v>13</v>
      </c>
      <c r="B15" s="190"/>
      <c r="C15" s="188"/>
      <c r="D15" s="258"/>
      <c r="E15" s="194"/>
      <c r="F15" s="194"/>
      <c r="G15" s="194"/>
    </row>
    <row r="16" spans="1:7" ht="15.75">
      <c r="A16" s="184">
        <v>14</v>
      </c>
      <c r="B16" s="192"/>
      <c r="C16" s="188"/>
      <c r="D16" s="258"/>
      <c r="E16" s="194"/>
      <c r="F16" s="194"/>
      <c r="G16" s="194"/>
    </row>
    <row r="17" spans="1:7" ht="15.75">
      <c r="A17" s="184">
        <v>15</v>
      </c>
      <c r="B17" s="191"/>
      <c r="C17" s="188"/>
      <c r="D17" s="258"/>
      <c r="E17" s="194"/>
      <c r="F17" s="194"/>
      <c r="G17" s="194"/>
    </row>
    <row r="18" spans="1:7" ht="15.75">
      <c r="A18" s="184">
        <v>16</v>
      </c>
      <c r="B18" s="191"/>
      <c r="C18" s="188"/>
      <c r="D18" s="258"/>
      <c r="E18" s="194"/>
      <c r="F18" s="194"/>
      <c r="G18" s="194"/>
    </row>
    <row r="19" spans="1:7" ht="15.75">
      <c r="A19" s="184">
        <v>17</v>
      </c>
      <c r="B19" s="191"/>
      <c r="C19" s="188"/>
      <c r="D19" s="258"/>
      <c r="E19" s="194"/>
      <c r="F19" s="194"/>
      <c r="G19" s="194"/>
    </row>
    <row r="20" spans="1:7" ht="16.5" thickBot="1">
      <c r="A20" s="185">
        <v>18</v>
      </c>
      <c r="B20" s="243"/>
      <c r="C20" s="189"/>
      <c r="D20" s="278"/>
      <c r="E20" s="194"/>
      <c r="F20" s="194"/>
      <c r="G20" s="194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  <row r="24" spans="1:7">
      <c r="E24" s="70"/>
      <c r="F24" s="70"/>
      <c r="G24" s="70"/>
    </row>
  </sheetData>
  <mergeCells count="1">
    <mergeCell ref="A1:D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D11" sqref="D11"/>
    </sheetView>
  </sheetViews>
  <sheetFormatPr baseColWidth="10" defaultRowHeight="15"/>
  <cols>
    <col min="1" max="1" width="6.7109375" customWidth="1"/>
    <col min="2" max="2" width="52.42578125" customWidth="1"/>
    <col min="3" max="3" width="26.7109375" customWidth="1"/>
    <col min="4" max="4" width="36.85546875" customWidth="1"/>
    <col min="5" max="5" width="15.85546875" customWidth="1"/>
    <col min="6" max="6" width="15.7109375" customWidth="1"/>
    <col min="7" max="7" width="17.28515625" customWidth="1"/>
  </cols>
  <sheetData>
    <row r="1" spans="1:7" s="195" customFormat="1" ht="33" customHeight="1" thickBot="1">
      <c r="A1" s="449" t="s">
        <v>178</v>
      </c>
      <c r="B1" s="450"/>
      <c r="C1" s="450"/>
      <c r="D1" s="451"/>
      <c r="E1" s="196"/>
      <c r="F1" s="196"/>
      <c r="G1" s="196"/>
    </row>
    <row r="2" spans="1:7" s="61" customFormat="1" ht="19.5" thickBot="1">
      <c r="A2" s="200" t="s">
        <v>0</v>
      </c>
      <c r="B2" s="202" t="s">
        <v>174</v>
      </c>
      <c r="C2" s="200" t="s">
        <v>2</v>
      </c>
      <c r="D2" s="200" t="s">
        <v>13</v>
      </c>
      <c r="E2" s="193"/>
      <c r="F2" s="193"/>
      <c r="G2" s="193"/>
    </row>
    <row r="3" spans="1:7" s="61" customFormat="1" ht="19.5" thickBot="1">
      <c r="A3" s="223">
        <v>1</v>
      </c>
      <c r="B3" s="289" t="s">
        <v>179</v>
      </c>
      <c r="C3" s="291">
        <v>42807</v>
      </c>
      <c r="D3" s="290">
        <v>285600</v>
      </c>
      <c r="E3" s="193"/>
      <c r="F3" s="193"/>
      <c r="G3" s="193"/>
    </row>
    <row r="4" spans="1:7" ht="19.5" thickBot="1">
      <c r="A4" s="279">
        <v>2</v>
      </c>
      <c r="B4" s="280" t="s">
        <v>176</v>
      </c>
      <c r="C4" s="287">
        <v>43430</v>
      </c>
      <c r="D4" s="225">
        <v>264854.02</v>
      </c>
      <c r="E4" s="194"/>
      <c r="F4" s="194"/>
      <c r="G4" s="194"/>
    </row>
    <row r="5" spans="1:7" ht="19.5" thickBot="1">
      <c r="A5" s="281">
        <v>3</v>
      </c>
      <c r="B5" s="282" t="s">
        <v>175</v>
      </c>
      <c r="C5" s="287"/>
      <c r="D5" s="283"/>
      <c r="E5" s="194"/>
      <c r="F5" s="194"/>
      <c r="G5" s="194"/>
    </row>
    <row r="6" spans="1:7" ht="19.5" thickBot="1">
      <c r="A6" s="284">
        <v>4</v>
      </c>
      <c r="B6" s="224" t="s">
        <v>177</v>
      </c>
      <c r="C6" s="287"/>
      <c r="D6" s="283"/>
      <c r="E6" s="194"/>
      <c r="F6" s="194"/>
      <c r="G6" s="194"/>
    </row>
    <row r="7" spans="1:7" ht="19.5" thickBot="1">
      <c r="A7" s="281">
        <v>5</v>
      </c>
      <c r="B7" s="282"/>
      <c r="C7" s="286"/>
      <c r="D7" s="285"/>
      <c r="E7" s="194"/>
      <c r="F7" s="194"/>
      <c r="G7" s="194"/>
    </row>
    <row r="8" spans="1:7" ht="19.5" thickBot="1">
      <c r="A8" s="284">
        <v>6</v>
      </c>
      <c r="B8" s="224"/>
      <c r="C8" s="286"/>
      <c r="D8" s="283"/>
      <c r="E8" s="194"/>
      <c r="F8" s="194"/>
      <c r="G8" s="194"/>
    </row>
    <row r="9" spans="1:7" ht="19.5" thickBot="1">
      <c r="A9" s="281">
        <v>7</v>
      </c>
      <c r="B9" s="282"/>
      <c r="C9" s="286"/>
      <c r="D9" s="285"/>
      <c r="E9" s="194"/>
      <c r="F9" s="194"/>
      <c r="G9" s="194"/>
    </row>
    <row r="10" spans="1:7" ht="35.25" customHeight="1" thickBot="1">
      <c r="A10" s="211"/>
      <c r="B10" s="274"/>
      <c r="C10" s="288" t="s">
        <v>28</v>
      </c>
      <c r="D10" s="276">
        <f>D3+D4</f>
        <v>550454.02</v>
      </c>
      <c r="E10" s="194"/>
      <c r="F10" s="194"/>
      <c r="G10" s="194"/>
    </row>
    <row r="11" spans="1:7" ht="15.75">
      <c r="A11" s="199"/>
      <c r="B11" s="198"/>
      <c r="C11" s="197"/>
      <c r="D11" s="277"/>
      <c r="E11" s="194"/>
      <c r="F11" s="194"/>
      <c r="G11" s="194"/>
    </row>
    <row r="12" spans="1:7" ht="15.75">
      <c r="A12" s="184"/>
      <c r="B12" s="190"/>
      <c r="C12" s="188"/>
      <c r="D12" s="258"/>
      <c r="E12" s="194"/>
      <c r="F12" s="194"/>
      <c r="G12" s="194"/>
    </row>
    <row r="13" spans="1:7" ht="15.75">
      <c r="A13" s="184"/>
      <c r="B13" s="190"/>
      <c r="C13" s="188"/>
      <c r="D13" s="258"/>
      <c r="E13" s="194"/>
      <c r="F13" s="194"/>
      <c r="G13" s="194"/>
    </row>
    <row r="14" spans="1:7" ht="15.75">
      <c r="A14" s="184"/>
      <c r="B14" s="190"/>
      <c r="C14" s="188"/>
      <c r="D14" s="258"/>
      <c r="E14" s="194"/>
      <c r="F14" s="194"/>
      <c r="G14" s="194"/>
    </row>
    <row r="15" spans="1:7" ht="15.75">
      <c r="A15" s="184"/>
      <c r="B15" s="190"/>
      <c r="C15" s="188"/>
      <c r="D15" s="258"/>
      <c r="E15" s="194"/>
      <c r="F15" s="194"/>
      <c r="G15" s="194"/>
    </row>
    <row r="16" spans="1:7" ht="15.75">
      <c r="A16" s="184"/>
      <c r="B16" s="190"/>
      <c r="C16" s="188"/>
      <c r="D16" s="258"/>
      <c r="E16" s="194"/>
      <c r="F16" s="194"/>
      <c r="G16" s="194"/>
    </row>
    <row r="17" spans="1:7" ht="15.75">
      <c r="A17" s="184"/>
      <c r="B17" s="192"/>
      <c r="C17" s="188"/>
      <c r="D17" s="258"/>
      <c r="E17" s="194"/>
      <c r="F17" s="194"/>
      <c r="G17" s="194"/>
    </row>
    <row r="18" spans="1:7" ht="15.75">
      <c r="A18" s="184"/>
      <c r="B18" s="191"/>
      <c r="C18" s="188"/>
      <c r="D18" s="258"/>
      <c r="E18" s="194"/>
      <c r="F18" s="194"/>
      <c r="G18" s="194"/>
    </row>
    <row r="19" spans="1:7" ht="15.75">
      <c r="A19" s="184"/>
      <c r="B19" s="191"/>
      <c r="C19" s="188"/>
      <c r="D19" s="258"/>
      <c r="E19" s="194"/>
      <c r="F19" s="194"/>
      <c r="G19" s="194"/>
    </row>
    <row r="20" spans="1:7" ht="15.75">
      <c r="A20" s="184"/>
      <c r="B20" s="191"/>
      <c r="C20" s="188"/>
      <c r="D20" s="258"/>
      <c r="E20" s="194"/>
      <c r="F20" s="194"/>
      <c r="G20" s="194"/>
    </row>
    <row r="21" spans="1:7" ht="16.5" thickBot="1">
      <c r="A21" s="185"/>
      <c r="B21" s="243"/>
      <c r="C21" s="189"/>
      <c r="D21" s="278"/>
      <c r="E21" s="194"/>
      <c r="F21" s="194"/>
      <c r="G21" s="194"/>
    </row>
    <row r="22" spans="1:7">
      <c r="E22" s="70"/>
      <c r="F22" s="70"/>
      <c r="G22" s="70"/>
    </row>
    <row r="23" spans="1:7">
      <c r="E23" s="70"/>
      <c r="F23" s="70"/>
      <c r="G23" s="70"/>
    </row>
    <row r="24" spans="1:7">
      <c r="E24" s="70"/>
      <c r="F24" s="70"/>
      <c r="G24" s="70"/>
    </row>
    <row r="25" spans="1:7">
      <c r="E25" s="70"/>
      <c r="F25" s="70"/>
      <c r="G25" s="70"/>
    </row>
  </sheetData>
  <mergeCells count="1">
    <mergeCell ref="A1:D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I10" sqref="I10"/>
    </sheetView>
  </sheetViews>
  <sheetFormatPr baseColWidth="10" defaultRowHeight="15"/>
  <cols>
    <col min="1" max="1" width="6.7109375" customWidth="1"/>
    <col min="2" max="2" width="42.570312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3" customHeight="1" thickBot="1">
      <c r="A1" s="449" t="s">
        <v>180</v>
      </c>
      <c r="B1" s="450"/>
      <c r="C1" s="450"/>
      <c r="D1" s="450"/>
      <c r="E1" s="451"/>
      <c r="F1" s="196"/>
      <c r="G1" s="196"/>
    </row>
    <row r="2" spans="1:7" s="301" customFormat="1" ht="19.5" thickBot="1">
      <c r="A2" s="200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1" customFormat="1" ht="19.5" thickBot="1">
      <c r="A3" s="295">
        <v>1</v>
      </c>
      <c r="B3" s="296" t="s">
        <v>181</v>
      </c>
      <c r="C3" s="306">
        <v>109.29</v>
      </c>
      <c r="D3" s="297">
        <v>50000</v>
      </c>
      <c r="E3" s="309">
        <f>C3*D3</f>
        <v>5464500</v>
      </c>
      <c r="F3" s="300"/>
      <c r="G3" s="300"/>
    </row>
    <row r="4" spans="1:7" s="304" customFormat="1" ht="19.5" thickBot="1">
      <c r="A4" s="279">
        <v>2</v>
      </c>
      <c r="B4" s="280" t="s">
        <v>182</v>
      </c>
      <c r="C4" s="286">
        <v>213.79</v>
      </c>
      <c r="D4" s="280">
        <v>50000</v>
      </c>
      <c r="E4" s="310">
        <f>C4*D4</f>
        <v>10689500</v>
      </c>
      <c r="F4" s="303"/>
      <c r="G4" s="303"/>
    </row>
    <row r="5" spans="1:7" s="304" customFormat="1" ht="19.5" thickBot="1">
      <c r="A5" s="281">
        <v>3</v>
      </c>
      <c r="B5" s="282" t="s">
        <v>183</v>
      </c>
      <c r="C5" s="286">
        <v>164.57</v>
      </c>
      <c r="D5" s="292">
        <v>50000</v>
      </c>
      <c r="E5" s="311">
        <f>C5*D5</f>
        <v>8228500</v>
      </c>
      <c r="F5" s="303"/>
      <c r="G5" s="303"/>
    </row>
    <row r="6" spans="1:7" s="304" customFormat="1" ht="19.5" thickBot="1">
      <c r="A6" s="284">
        <v>4</v>
      </c>
      <c r="B6" s="224"/>
      <c r="C6" s="286"/>
      <c r="D6" s="292"/>
      <c r="E6" s="302"/>
      <c r="F6" s="303"/>
      <c r="G6" s="303"/>
    </row>
    <row r="7" spans="1:7" s="304" customFormat="1" ht="19.5" thickBot="1">
      <c r="A7" s="281">
        <v>5</v>
      </c>
      <c r="B7" s="282"/>
      <c r="C7" s="286"/>
      <c r="D7" s="224"/>
      <c r="E7" s="305"/>
      <c r="F7" s="303"/>
      <c r="G7" s="303"/>
    </row>
    <row r="8" spans="1:7" s="304" customFormat="1" ht="19.5" thickBot="1">
      <c r="A8" s="284">
        <v>6</v>
      </c>
      <c r="B8" s="224"/>
      <c r="C8" s="286"/>
      <c r="D8" s="292"/>
      <c r="E8" s="302"/>
      <c r="F8" s="303"/>
      <c r="G8" s="303"/>
    </row>
    <row r="9" spans="1:7" s="304" customFormat="1" ht="19.5" thickBot="1">
      <c r="A9" s="281">
        <v>7</v>
      </c>
      <c r="B9" s="282"/>
      <c r="C9" s="286"/>
      <c r="D9" s="224"/>
      <c r="E9" s="305"/>
      <c r="F9" s="303"/>
      <c r="G9" s="303"/>
    </row>
    <row r="10" spans="1:7" s="304" customFormat="1" ht="35.25" customHeight="1" thickBot="1">
      <c r="A10" s="211"/>
      <c r="B10" s="274"/>
      <c r="C10" s="288" t="s">
        <v>187</v>
      </c>
      <c r="D10" s="474">
        <f>E3+E4+E5</f>
        <v>24382500</v>
      </c>
      <c r="E10" s="475"/>
      <c r="F10" s="303"/>
      <c r="G10" s="303"/>
    </row>
    <row r="11" spans="1:7" ht="15.75">
      <c r="A11" s="199"/>
      <c r="B11" s="198"/>
      <c r="C11" s="197"/>
      <c r="D11" s="244"/>
      <c r="E11" s="299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0"/>
      <c r="C15" s="188"/>
      <c r="D15" s="186"/>
      <c r="E15" s="256"/>
      <c r="F15" s="194"/>
      <c r="G15" s="194"/>
    </row>
    <row r="16" spans="1:7" ht="15.75">
      <c r="A16" s="184"/>
      <c r="B16" s="190"/>
      <c r="C16" s="188"/>
      <c r="D16" s="186"/>
      <c r="E16" s="256"/>
      <c r="F16" s="194"/>
      <c r="G16" s="194"/>
    </row>
    <row r="17" spans="1:7" ht="15.75">
      <c r="A17" s="184"/>
      <c r="B17" s="192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5.75">
      <c r="A19" s="184"/>
      <c r="B19" s="191"/>
      <c r="C19" s="188"/>
      <c r="D19" s="186"/>
      <c r="E19" s="256"/>
      <c r="F19" s="194"/>
      <c r="G19" s="194"/>
    </row>
    <row r="20" spans="1:7" ht="15.75">
      <c r="A20" s="184"/>
      <c r="B20" s="191"/>
      <c r="C20" s="188"/>
      <c r="D20" s="186"/>
      <c r="E20" s="256"/>
      <c r="F20" s="194"/>
      <c r="G20" s="194"/>
    </row>
    <row r="21" spans="1:7" ht="16.5" thickBot="1">
      <c r="A21" s="185"/>
      <c r="B21" s="243"/>
      <c r="C21" s="189"/>
      <c r="D21" s="187"/>
      <c r="E21" s="298"/>
      <c r="F21" s="194"/>
      <c r="G21" s="194"/>
    </row>
    <row r="22" spans="1:7">
      <c r="E22" s="70"/>
      <c r="F22" s="70"/>
      <c r="G22" s="70"/>
    </row>
    <row r="23" spans="1:7">
      <c r="E23" s="70"/>
      <c r="F23" s="70"/>
      <c r="G23" s="70"/>
    </row>
    <row r="24" spans="1:7">
      <c r="E24" s="70"/>
      <c r="F24" s="70"/>
      <c r="G24" s="70"/>
    </row>
    <row r="25" spans="1:7">
      <c r="E25" s="70"/>
      <c r="F25" s="70"/>
      <c r="G25" s="70"/>
    </row>
  </sheetData>
  <mergeCells count="2">
    <mergeCell ref="D10:E10"/>
    <mergeCell ref="A1:E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sqref="A1:E1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195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19" t="s">
        <v>184</v>
      </c>
      <c r="C2" s="223" t="s">
        <v>185</v>
      </c>
      <c r="D2" s="320" t="s">
        <v>186</v>
      </c>
      <c r="E2" s="223" t="s">
        <v>13</v>
      </c>
      <c r="F2" s="300"/>
      <c r="G2" s="300"/>
    </row>
    <row r="3" spans="1:7" s="301" customFormat="1" ht="18.75">
      <c r="A3" s="294">
        <v>1</v>
      </c>
      <c r="B3" s="293" t="s">
        <v>192</v>
      </c>
      <c r="C3" s="318" t="s">
        <v>188</v>
      </c>
      <c r="D3" s="323" t="s">
        <v>190</v>
      </c>
      <c r="E3" s="309">
        <v>5680000</v>
      </c>
      <c r="F3" s="300"/>
      <c r="G3" s="300"/>
    </row>
    <row r="4" spans="1:7" s="304" customFormat="1" ht="19.5" thickBot="1">
      <c r="A4" s="315"/>
      <c r="B4" s="316" t="s">
        <v>191</v>
      </c>
      <c r="C4" s="319" t="s">
        <v>189</v>
      </c>
      <c r="D4" s="321"/>
      <c r="E4" s="322"/>
      <c r="F4" s="303"/>
      <c r="G4" s="303"/>
    </row>
    <row r="5" spans="1:7" s="304" customFormat="1" ht="19.5" thickBot="1">
      <c r="A5" s="315">
        <v>2</v>
      </c>
      <c r="B5" s="314" t="s">
        <v>194</v>
      </c>
      <c r="C5" s="317" t="s">
        <v>193</v>
      </c>
      <c r="D5" s="324" t="s">
        <v>190</v>
      </c>
      <c r="E5" s="311">
        <v>800000</v>
      </c>
      <c r="F5" s="303"/>
      <c r="G5" s="303"/>
    </row>
    <row r="6" spans="1:7" s="304" customFormat="1" ht="19.5" thickBot="1">
      <c r="A6" s="284"/>
      <c r="B6" s="224"/>
      <c r="C6" s="286"/>
      <c r="D6" s="292"/>
      <c r="E6" s="302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19.5" thickBot="1">
      <c r="A8" s="284"/>
      <c r="B8" s="224"/>
      <c r="C8" s="286"/>
      <c r="D8" s="292"/>
      <c r="E8" s="302"/>
      <c r="F8" s="303"/>
      <c r="G8" s="303"/>
    </row>
    <row r="9" spans="1:7" s="304" customFormat="1" ht="19.5" thickBot="1">
      <c r="A9" s="281"/>
      <c r="B9" s="282"/>
      <c r="C9" s="286"/>
      <c r="D9" s="224"/>
      <c r="E9" s="305"/>
      <c r="F9" s="303"/>
      <c r="G9" s="303"/>
    </row>
    <row r="10" spans="1:7" s="304" customFormat="1" ht="35.25" customHeight="1" thickBot="1">
      <c r="A10" s="211"/>
      <c r="B10" s="274"/>
      <c r="C10" s="288" t="s">
        <v>187</v>
      </c>
      <c r="D10" s="476">
        <f>E3+E5</f>
        <v>6480000</v>
      </c>
      <c r="E10" s="477"/>
      <c r="F10" s="303"/>
      <c r="G10" s="303"/>
    </row>
    <row r="11" spans="1:7" ht="15.75">
      <c r="A11" s="199"/>
      <c r="B11" s="198"/>
      <c r="C11" s="197"/>
      <c r="D11" s="244"/>
      <c r="E11" s="299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0"/>
      <c r="C15" s="188"/>
      <c r="D15" s="186"/>
      <c r="E15" s="256"/>
      <c r="F15" s="194"/>
      <c r="G15" s="194"/>
    </row>
    <row r="16" spans="1:7" ht="15.75">
      <c r="A16" s="184"/>
      <c r="B16" s="190"/>
      <c r="C16" s="188"/>
      <c r="D16" s="186"/>
      <c r="E16" s="256"/>
      <c r="F16" s="194"/>
      <c r="G16" s="194"/>
    </row>
    <row r="17" spans="1:7" ht="15.75">
      <c r="A17" s="184"/>
      <c r="B17" s="192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5.75">
      <c r="A19" s="184"/>
      <c r="B19" s="191"/>
      <c r="C19" s="188"/>
      <c r="D19" s="186"/>
      <c r="E19" s="256"/>
      <c r="F19" s="194"/>
      <c r="G19" s="194"/>
    </row>
    <row r="20" spans="1:7" ht="15.75">
      <c r="A20" s="184"/>
      <c r="B20" s="191"/>
      <c r="C20" s="188"/>
      <c r="D20" s="186"/>
      <c r="E20" s="256"/>
      <c r="F20" s="194"/>
      <c r="G20" s="194"/>
    </row>
    <row r="21" spans="1:7" ht="16.5" thickBot="1">
      <c r="A21" s="185"/>
      <c r="B21" s="243"/>
      <c r="C21" s="189"/>
      <c r="D21" s="187"/>
      <c r="E21" s="298"/>
      <c r="F21" s="194"/>
      <c r="G21" s="194"/>
    </row>
    <row r="22" spans="1:7">
      <c r="E22" s="70"/>
      <c r="F22" s="70"/>
      <c r="G22" s="70"/>
    </row>
    <row r="23" spans="1:7">
      <c r="E23" s="70"/>
      <c r="F23" s="70"/>
      <c r="G23" s="70"/>
    </row>
    <row r="24" spans="1:7">
      <c r="E24" s="70"/>
      <c r="F24" s="70"/>
      <c r="G24" s="70"/>
    </row>
    <row r="25" spans="1:7">
      <c r="E25" s="70"/>
      <c r="F25" s="70"/>
      <c r="G25" s="70"/>
    </row>
  </sheetData>
  <mergeCells count="2">
    <mergeCell ref="D10:E10"/>
    <mergeCell ref="A1:E1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I12" sqref="I12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196</v>
      </c>
      <c r="B1" s="450"/>
      <c r="C1" s="450"/>
      <c r="D1" s="450"/>
      <c r="E1" s="451"/>
      <c r="F1" s="196"/>
      <c r="G1" s="196"/>
    </row>
    <row r="2" spans="1:7" s="301" customFormat="1" ht="19.5" thickBot="1">
      <c r="A2" s="200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315">
        <v>1</v>
      </c>
      <c r="B3" s="314" t="s">
        <v>198</v>
      </c>
      <c r="C3" s="325" t="s">
        <v>202</v>
      </c>
      <c r="D3" s="324" t="s">
        <v>201</v>
      </c>
      <c r="E3" s="311">
        <v>1950000</v>
      </c>
      <c r="F3" s="303"/>
      <c r="G3" s="303"/>
    </row>
    <row r="4" spans="1:7" s="304" customFormat="1" ht="19.5" thickBot="1">
      <c r="A4" s="284">
        <v>2</v>
      </c>
      <c r="B4" s="224" t="s">
        <v>197</v>
      </c>
      <c r="C4" s="326" t="s">
        <v>202</v>
      </c>
      <c r="D4" s="324" t="s">
        <v>201</v>
      </c>
      <c r="E4" s="307">
        <v>10355370</v>
      </c>
      <c r="F4" s="303"/>
      <c r="G4" s="303"/>
    </row>
    <row r="5" spans="1:7" s="304" customFormat="1" ht="19.5" thickBot="1">
      <c r="A5" s="281">
        <v>3</v>
      </c>
      <c r="B5" s="282" t="s">
        <v>199</v>
      </c>
      <c r="C5" s="326" t="s">
        <v>202</v>
      </c>
      <c r="D5" s="324" t="s">
        <v>201</v>
      </c>
      <c r="E5" s="308">
        <v>2591000</v>
      </c>
      <c r="F5" s="303"/>
      <c r="G5" s="303"/>
    </row>
    <row r="6" spans="1:7" s="304" customFormat="1" ht="19.5" thickBot="1">
      <c r="A6" s="284">
        <v>4</v>
      </c>
      <c r="B6" s="224" t="s">
        <v>200</v>
      </c>
      <c r="C6" s="317" t="s">
        <v>202</v>
      </c>
      <c r="D6" s="324" t="s">
        <v>201</v>
      </c>
      <c r="E6" s="307">
        <v>7000000</v>
      </c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21896370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L20" sqref="L19:L21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203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204</v>
      </c>
      <c r="C3" s="325"/>
      <c r="D3" s="324" t="s">
        <v>206</v>
      </c>
      <c r="E3" s="311">
        <v>9691900</v>
      </c>
      <c r="F3" s="303"/>
      <c r="G3" s="303"/>
    </row>
    <row r="4" spans="1:7" s="304" customFormat="1" ht="19.5" thickBot="1">
      <c r="A4" s="315"/>
      <c r="B4" s="224" t="s">
        <v>205</v>
      </c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9691900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H13" sqref="H13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207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208</v>
      </c>
      <c r="C3" s="325"/>
      <c r="D3" s="324" t="s">
        <v>209</v>
      </c>
      <c r="E3" s="311">
        <v>4550000</v>
      </c>
      <c r="F3" s="303"/>
      <c r="G3" s="303"/>
    </row>
    <row r="4" spans="1:7" s="304" customFormat="1" ht="19.5" thickBot="1">
      <c r="A4" s="315"/>
      <c r="B4" s="224" t="s">
        <v>205</v>
      </c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4550000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E4" sqref="E4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213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210</v>
      </c>
      <c r="C3" s="325"/>
      <c r="D3" s="324" t="s">
        <v>212</v>
      </c>
      <c r="E3" s="311">
        <v>1084000</v>
      </c>
      <c r="F3" s="303"/>
      <c r="G3" s="303"/>
    </row>
    <row r="4" spans="1:7" s="304" customFormat="1" ht="19.5" thickBot="1">
      <c r="A4" s="315"/>
      <c r="B4" s="224" t="s">
        <v>211</v>
      </c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1084000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G18" sqref="G18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219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214</v>
      </c>
      <c r="C3" s="325"/>
      <c r="D3" s="324" t="s">
        <v>216</v>
      </c>
      <c r="E3" s="311">
        <v>1751409</v>
      </c>
      <c r="F3" s="303"/>
      <c r="G3" s="303"/>
    </row>
    <row r="4" spans="1:7" s="304" customFormat="1" ht="19.5" thickBot="1">
      <c r="A4" s="315"/>
      <c r="B4" s="224" t="s">
        <v>215</v>
      </c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1751409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A2" sqref="A2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222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220</v>
      </c>
      <c r="C3" s="325"/>
      <c r="D3" s="324"/>
      <c r="E3" s="311">
        <v>400000</v>
      </c>
      <c r="F3" s="303"/>
      <c r="G3" s="303"/>
    </row>
    <row r="4" spans="1:7" s="304" customFormat="1" ht="19.5" thickBot="1">
      <c r="A4" s="315"/>
      <c r="B4" s="224" t="s">
        <v>221</v>
      </c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400000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G22" sqref="G22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223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226</v>
      </c>
      <c r="C3" s="325"/>
      <c r="D3" s="324"/>
      <c r="E3" s="311">
        <v>2000000</v>
      </c>
      <c r="F3" s="303"/>
      <c r="G3" s="303"/>
    </row>
    <row r="4" spans="1:7" s="304" customFormat="1" ht="19.5" thickBot="1">
      <c r="A4" s="315">
        <v>2</v>
      </c>
      <c r="B4" s="314" t="s">
        <v>225</v>
      </c>
      <c r="C4" s="326"/>
      <c r="D4" s="324"/>
      <c r="E4" s="307">
        <v>200000</v>
      </c>
      <c r="F4" s="303"/>
      <c r="G4" s="303"/>
    </row>
    <row r="5" spans="1:7" s="304" customFormat="1" ht="19.5" thickBot="1">
      <c r="A5" s="315">
        <v>3</v>
      </c>
      <c r="B5" s="314" t="s">
        <v>224</v>
      </c>
      <c r="C5" s="326"/>
      <c r="D5" s="324"/>
      <c r="E5" s="308">
        <v>500000</v>
      </c>
      <c r="F5" s="303"/>
      <c r="G5" s="303"/>
    </row>
    <row r="6" spans="1:7" s="304" customFormat="1" ht="19.5" thickBot="1">
      <c r="A6" s="284">
        <v>4</v>
      </c>
      <c r="B6" s="314" t="s">
        <v>227</v>
      </c>
      <c r="C6" s="317"/>
      <c r="D6" s="324"/>
      <c r="E6" s="307">
        <v>194000</v>
      </c>
      <c r="F6" s="303"/>
      <c r="G6" s="303"/>
    </row>
    <row r="7" spans="1:7" s="304" customFormat="1" ht="19.5" thickBot="1">
      <c r="A7" s="281">
        <v>5</v>
      </c>
      <c r="B7" s="314" t="s">
        <v>228</v>
      </c>
      <c r="C7" s="286"/>
      <c r="D7" s="224"/>
      <c r="E7" s="308">
        <v>1000000</v>
      </c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E3+E4+E5+E6+E7</f>
        <v>3894000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M27" sqref="M26:M27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78" t="s">
        <v>237</v>
      </c>
      <c r="B1" s="479"/>
      <c r="C1" s="479"/>
      <c r="D1" s="479"/>
      <c r="E1" s="480"/>
      <c r="F1" s="196"/>
      <c r="G1" s="196"/>
    </row>
    <row r="2" spans="1:7" s="301" customFormat="1" ht="19.5" thickBot="1">
      <c r="A2" s="223" t="s">
        <v>0</v>
      </c>
      <c r="B2" s="219" t="s">
        <v>184</v>
      </c>
      <c r="C2" s="223" t="s">
        <v>185</v>
      </c>
      <c r="D2" s="320" t="s">
        <v>186</v>
      </c>
      <c r="E2" s="223" t="s">
        <v>13</v>
      </c>
      <c r="F2" s="300"/>
      <c r="G2" s="300"/>
    </row>
    <row r="3" spans="1:7" s="304" customFormat="1" ht="18.75">
      <c r="A3" s="327">
        <v>1</v>
      </c>
      <c r="B3" s="328" t="s">
        <v>217</v>
      </c>
      <c r="C3" s="329" t="s">
        <v>89</v>
      </c>
      <c r="D3" s="337"/>
      <c r="E3" s="338">
        <v>1440000</v>
      </c>
      <c r="F3" s="303"/>
      <c r="G3" s="303"/>
    </row>
    <row r="4" spans="1:7" s="304" customFormat="1" ht="19.5" thickBot="1">
      <c r="A4" s="332"/>
      <c r="B4" s="333" t="s">
        <v>218</v>
      </c>
      <c r="C4" s="334"/>
      <c r="D4" s="330"/>
      <c r="E4" s="336"/>
      <c r="F4" s="303"/>
      <c r="G4" s="303"/>
    </row>
    <row r="5" spans="1:7" s="304" customFormat="1" ht="18.75">
      <c r="A5" s="279">
        <v>2</v>
      </c>
      <c r="B5" s="280" t="s">
        <v>230</v>
      </c>
      <c r="C5" s="329" t="s">
        <v>231</v>
      </c>
      <c r="D5" s="337"/>
      <c r="E5" s="335">
        <v>8266045.2599999998</v>
      </c>
      <c r="F5" s="303"/>
      <c r="G5" s="303"/>
    </row>
    <row r="6" spans="1:7" s="304" customFormat="1" ht="19.5" thickBot="1">
      <c r="A6" s="315"/>
      <c r="B6" s="316" t="s">
        <v>234</v>
      </c>
      <c r="C6" s="319" t="s">
        <v>235</v>
      </c>
      <c r="D6" s="330"/>
      <c r="E6" s="336"/>
      <c r="F6" s="303"/>
      <c r="G6" s="303"/>
    </row>
    <row r="7" spans="1:7" s="304" customFormat="1" ht="19.5" thickBot="1">
      <c r="A7" s="315">
        <v>3</v>
      </c>
      <c r="B7" s="314" t="s">
        <v>236</v>
      </c>
      <c r="C7" s="317" t="s">
        <v>231</v>
      </c>
      <c r="D7" s="224"/>
      <c r="E7" s="308">
        <v>2162273</v>
      </c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E3+E5+E7</f>
        <v>11868318.26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G18" sqref="G18"/>
    </sheetView>
  </sheetViews>
  <sheetFormatPr baseColWidth="10" defaultRowHeight="15"/>
  <cols>
    <col min="1" max="1" width="6.7109375" customWidth="1"/>
    <col min="2" max="2" width="51.85546875" customWidth="1"/>
    <col min="3" max="3" width="19.85546875" customWidth="1"/>
    <col min="4" max="4" width="26.28515625" customWidth="1"/>
    <col min="5" max="5" width="20.85546875" customWidth="1"/>
    <col min="6" max="6" width="15.7109375" customWidth="1"/>
    <col min="7" max="7" width="17.28515625" customWidth="1"/>
  </cols>
  <sheetData>
    <row r="1" spans="1:7" s="195" customFormat="1" ht="37.5" customHeight="1" thickBot="1">
      <c r="A1" s="449" t="s">
        <v>229</v>
      </c>
      <c r="B1" s="450"/>
      <c r="C1" s="450"/>
      <c r="D1" s="450"/>
      <c r="E1" s="451"/>
      <c r="F1" s="196"/>
      <c r="G1" s="196"/>
    </row>
    <row r="2" spans="1:7" s="301" customFormat="1" ht="19.5" thickBot="1">
      <c r="A2" s="223" t="s">
        <v>0</v>
      </c>
      <c r="B2" s="202" t="s">
        <v>184</v>
      </c>
      <c r="C2" s="200" t="s">
        <v>185</v>
      </c>
      <c r="D2" s="275" t="s">
        <v>186</v>
      </c>
      <c r="E2" s="200" t="s">
        <v>13</v>
      </c>
      <c r="F2" s="300"/>
      <c r="G2" s="300"/>
    </row>
    <row r="3" spans="1:7" s="304" customFormat="1" ht="19.5" thickBot="1">
      <c r="A3" s="279">
        <v>1</v>
      </c>
      <c r="B3" s="314" t="s">
        <v>232</v>
      </c>
      <c r="C3" s="325"/>
      <c r="D3" s="324"/>
      <c r="E3" s="311"/>
      <c r="F3" s="303"/>
      <c r="G3" s="303"/>
    </row>
    <row r="4" spans="1:7" s="304" customFormat="1" ht="19.5" thickBot="1">
      <c r="A4" s="315"/>
      <c r="B4" s="224"/>
      <c r="C4" s="326"/>
      <c r="D4" s="324"/>
      <c r="E4" s="307"/>
      <c r="F4" s="303"/>
      <c r="G4" s="303"/>
    </row>
    <row r="5" spans="1:7" s="304" customFormat="1" ht="19.5" thickBot="1">
      <c r="A5" s="315"/>
      <c r="B5" s="282"/>
      <c r="C5" s="326"/>
      <c r="D5" s="324"/>
      <c r="E5" s="308"/>
      <c r="F5" s="303"/>
      <c r="G5" s="303"/>
    </row>
    <row r="6" spans="1:7" s="304" customFormat="1" ht="19.5" thickBot="1">
      <c r="A6" s="284"/>
      <c r="B6" s="224"/>
      <c r="C6" s="317"/>
      <c r="D6" s="324"/>
      <c r="E6" s="307"/>
      <c r="F6" s="303"/>
      <c r="G6" s="303"/>
    </row>
    <row r="7" spans="1:7" s="304" customFormat="1" ht="19.5" thickBot="1">
      <c r="A7" s="281"/>
      <c r="B7" s="282"/>
      <c r="C7" s="286"/>
      <c r="D7" s="224"/>
      <c r="E7" s="305"/>
      <c r="F7" s="303"/>
      <c r="G7" s="303"/>
    </row>
    <row r="8" spans="1:7" s="304" customFormat="1" ht="35.25" customHeight="1" thickBot="1">
      <c r="A8" s="211"/>
      <c r="B8" s="274"/>
      <c r="C8" s="288" t="s">
        <v>187</v>
      </c>
      <c r="D8" s="476">
        <f>E3+E4+E5+E6</f>
        <v>0</v>
      </c>
      <c r="E8" s="477"/>
      <c r="F8" s="303"/>
      <c r="G8" s="303"/>
    </row>
    <row r="9" spans="1:7" ht="15.75">
      <c r="A9" s="199"/>
      <c r="B9" s="198"/>
      <c r="C9" s="197"/>
      <c r="D9" s="244"/>
      <c r="E9" s="299"/>
      <c r="F9" s="194"/>
      <c r="G9" s="194"/>
    </row>
    <row r="10" spans="1:7" ht="15.75">
      <c r="A10" s="184"/>
      <c r="B10" s="190"/>
      <c r="C10" s="188"/>
      <c r="D10" s="186"/>
      <c r="E10" s="256"/>
      <c r="F10" s="194"/>
      <c r="G10" s="194"/>
    </row>
    <row r="11" spans="1:7" ht="15.75">
      <c r="A11" s="184"/>
      <c r="B11" s="190"/>
      <c r="C11" s="188"/>
      <c r="D11" s="186"/>
      <c r="E11" s="256"/>
      <c r="F11" s="194"/>
      <c r="G11" s="194"/>
    </row>
    <row r="12" spans="1:7" ht="15.75">
      <c r="A12" s="184"/>
      <c r="B12" s="190"/>
      <c r="C12" s="188"/>
      <c r="D12" s="186"/>
      <c r="E12" s="256"/>
      <c r="F12" s="194"/>
      <c r="G12" s="194"/>
    </row>
    <row r="13" spans="1:7" ht="15.75">
      <c r="A13" s="184"/>
      <c r="B13" s="190"/>
      <c r="C13" s="188"/>
      <c r="D13" s="186"/>
      <c r="E13" s="256"/>
      <c r="F13" s="194"/>
      <c r="G13" s="194"/>
    </row>
    <row r="14" spans="1:7" ht="15.75">
      <c r="A14" s="184"/>
      <c r="B14" s="190"/>
      <c r="C14" s="188"/>
      <c r="D14" s="186"/>
      <c r="E14" s="256"/>
      <c r="F14" s="194"/>
      <c r="G14" s="194"/>
    </row>
    <row r="15" spans="1:7" ht="15.75">
      <c r="A15" s="184"/>
      <c r="B15" s="192"/>
      <c r="C15" s="188"/>
      <c r="D15" s="186"/>
      <c r="E15" s="256"/>
      <c r="F15" s="194"/>
      <c r="G15" s="194"/>
    </row>
    <row r="16" spans="1:7" ht="15.75">
      <c r="A16" s="184"/>
      <c r="B16" s="191"/>
      <c r="C16" s="188"/>
      <c r="D16" s="186"/>
      <c r="E16" s="256"/>
      <c r="F16" s="194"/>
      <c r="G16" s="194"/>
    </row>
    <row r="17" spans="1:7" ht="15.75">
      <c r="A17" s="184"/>
      <c r="B17" s="191"/>
      <c r="C17" s="188"/>
      <c r="D17" s="186"/>
      <c r="E17" s="256"/>
      <c r="F17" s="194"/>
      <c r="G17" s="194"/>
    </row>
    <row r="18" spans="1:7" ht="15.75">
      <c r="A18" s="184"/>
      <c r="B18" s="191"/>
      <c r="C18" s="188"/>
      <c r="D18" s="186"/>
      <c r="E18" s="256"/>
      <c r="F18" s="194"/>
      <c r="G18" s="194"/>
    </row>
    <row r="19" spans="1:7" ht="16.5" thickBot="1">
      <c r="A19" s="185"/>
      <c r="B19" s="243"/>
      <c r="C19" s="189"/>
      <c r="D19" s="187"/>
      <c r="E19" s="298"/>
      <c r="F19" s="194"/>
      <c r="G19" s="194"/>
    </row>
    <row r="20" spans="1:7">
      <c r="E20" s="70"/>
      <c r="F20" s="70"/>
      <c r="G20" s="70"/>
    </row>
    <row r="21" spans="1:7">
      <c r="E21" s="70"/>
      <c r="F21" s="70"/>
      <c r="G21" s="70"/>
    </row>
    <row r="22" spans="1:7">
      <c r="E22" s="70"/>
      <c r="F22" s="70"/>
      <c r="G22" s="70"/>
    </row>
    <row r="23" spans="1:7">
      <c r="E23" s="70"/>
      <c r="F23" s="70"/>
      <c r="G23" s="70"/>
    </row>
  </sheetData>
  <mergeCells count="2">
    <mergeCell ref="A1:E1"/>
    <mergeCell ref="D8:E8"/>
  </mergeCells>
  <pageMargins left="0.43" right="0.34" top="0.28000000000000003" bottom="0.32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ETATS DES CHEQUES</vt:lpstr>
      <vt:lpstr>ETATS DES SALAIRES</vt:lpstr>
      <vt:lpstr>ETAT ADEL BET</vt:lpstr>
      <vt:lpstr>TERRAIN DE FOES</vt:lpstr>
      <vt:lpstr>FGCMPI-FOES</vt:lpstr>
      <vt:lpstr>IMPOT</vt:lpstr>
      <vt:lpstr>CNAS + CASNOS</vt:lpstr>
      <vt:lpstr>OULED FAYET</vt:lpstr>
      <vt:lpstr>marchandises PLOMBIER</vt:lpstr>
      <vt:lpstr>marchandises ELECTRICIEN</vt:lpstr>
      <vt:lpstr>marchandises ALLUMINUM</vt:lpstr>
      <vt:lpstr>marchandises pinture</vt:lpstr>
      <vt:lpstr>marchandises CIMENT NOIRE</vt:lpstr>
      <vt:lpstr>marchandises CERAMIQUE</vt:lpstr>
      <vt:lpstr>marchandises SABLE 03</vt:lpstr>
      <vt:lpstr>marchandises PC FEAUX+B13+GRIFI</vt:lpstr>
      <vt:lpstr>VERSEMENT 1ER ST WAHAB ALLUM</vt:lpstr>
      <vt:lpstr>MAIN D'OUVRE PINTURE 3 BLOC ABC</vt:lpstr>
      <vt:lpstr>CTC - FOES</vt:lpstr>
      <vt:lpstr>CTC - SAHEL</vt:lpstr>
      <vt:lpstr>ST- CUISINE DAOUD</vt:lpstr>
      <vt:lpstr>ST- ELECTRICITE KARIM</vt:lpstr>
      <vt:lpstr>ST-SOUDURE SAID</vt:lpstr>
      <vt:lpstr>ST-PLOMBIER FAWZI</vt:lpstr>
      <vt:lpstr>ST-RAOUF CES</vt:lpstr>
      <vt:lpstr>ST-PINTURE FODIL RETOUCHE</vt:lpstr>
      <vt:lpstr>ST-BETON IMPRIME</vt:lpstr>
      <vt:lpstr>ST-MADANI PLOMBIER</vt:lpstr>
      <vt:lpstr>ST-AUTOMATISE FAWZI</vt:lpstr>
      <vt:lpstr>ST-ASCENSSEUR FOES (2)</vt:lpstr>
      <vt:lpstr>ST-MEUBLE BOUBKEUR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soft</cp:lastModifiedBy>
  <cp:lastPrinted>2019-05-28T00:33:11Z</cp:lastPrinted>
  <dcterms:created xsi:type="dcterms:W3CDTF">2018-07-15T16:49:04Z</dcterms:created>
  <dcterms:modified xsi:type="dcterms:W3CDTF">2019-05-28T00:55:59Z</dcterms:modified>
</cp:coreProperties>
</file>