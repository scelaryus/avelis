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E29484D-5590-4C35-A5E8-629233FD6C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YTUNC" sheetId="16" r:id="rId1"/>
    <sheet name="AYTUNC VRD esp" sheetId="76" r:id="rId2"/>
    <sheet name="meziani " sheetId="11" r:id="rId3"/>
    <sheet name="BELAIDI MOHAMED RIADH" sheetId="8" r:id="rId4"/>
    <sheet name="TELMAT" sheetId="13" r:id="rId5"/>
    <sheet name="BENHADAD " sheetId="12" r:id="rId6"/>
    <sheet name="parabole" sheetId="20" r:id="rId7"/>
    <sheet name="MONOCOUCHE SID" sheetId="58" r:id="rId8"/>
    <sheet name="OXXO" sheetId="71" r:id="rId9"/>
    <sheet name="edoor" sheetId="59" r:id="rId10"/>
    <sheet name=" BIMHA  construction PEINTURE " sheetId="7" r:id="rId11"/>
    <sheet name="BIMHA TERRASSSEMENT" sheetId="69" r:id="rId12"/>
    <sheet name="RAFFA LAHCEN" sheetId="14" r:id="rId13"/>
    <sheet name="BELAIDI NOUR EDDINE" sheetId="9" r:id="rId14"/>
    <sheet name="RAMMAS PASSEREL" sheetId="21" r:id="rId15"/>
  </sheets>
  <definedNames>
    <definedName name="_xlnm.Print_Area" localSheetId="10">' BIMHA  construction PEINTURE '!$A$1:$O$24</definedName>
    <definedName name="_xlnm.Print_Area" localSheetId="1">'AYTUNC VRD esp'!$A$1:$P$40</definedName>
    <definedName name="_xlnm.Print_Area" localSheetId="13">'BELAIDI NOUR EDDINE'!$A$1:$O$26</definedName>
    <definedName name="_xlnm.Print_Area" localSheetId="2">'meziani '!$A$1:$V$16</definedName>
    <definedName name="_xlnm.Print_Area" localSheetId="12">'RAFFA LAHCEN'!$A$1:$P$21</definedName>
  </definedNames>
  <calcPr calcId="191029"/>
</workbook>
</file>

<file path=xl/calcChain.xml><?xml version="1.0" encoding="utf-8"?>
<calcChain xmlns="http://schemas.openxmlformats.org/spreadsheetml/2006/main">
  <c r="M8" i="20" l="1"/>
  <c r="F8" i="20"/>
  <c r="K9" i="59"/>
  <c r="L9" i="59"/>
  <c r="L7" i="59"/>
  <c r="L5" i="59"/>
  <c r="K7" i="59"/>
  <c r="K5" i="59"/>
  <c r="D9" i="59"/>
  <c r="K8" i="14"/>
  <c r="I8" i="14"/>
  <c r="M7" i="11" l="1"/>
  <c r="K7" i="11"/>
  <c r="E7" i="11"/>
  <c r="K9" i="21"/>
  <c r="M9" i="21" s="1"/>
  <c r="L9" i="21"/>
  <c r="L21" i="21"/>
  <c r="G21" i="21"/>
  <c r="N21" i="21" s="1"/>
  <c r="M7" i="9"/>
  <c r="O21" i="21" l="1"/>
  <c r="N15" i="9"/>
  <c r="L15" i="9"/>
  <c r="F7" i="9"/>
  <c r="N7" i="9"/>
  <c r="G43" i="16"/>
  <c r="D10" i="76"/>
  <c r="D9" i="76"/>
  <c r="I9" i="76"/>
  <c r="D43" i="16"/>
  <c r="D44" i="16" l="1"/>
  <c r="M5" i="7" l="1"/>
  <c r="L5" i="7"/>
  <c r="O6" i="13"/>
  <c r="M6" i="13"/>
  <c r="L6" i="13"/>
  <c r="L7" i="9"/>
  <c r="M8" i="8" l="1"/>
  <c r="L23" i="9"/>
  <c r="F23" i="9"/>
  <c r="F15" i="9"/>
  <c r="N23" i="9" l="1"/>
  <c r="N24" i="9" s="1"/>
  <c r="B5" i="59"/>
  <c r="G8" i="12"/>
  <c r="K8" i="12"/>
  <c r="F5" i="7"/>
  <c r="G23" i="71" l="1"/>
  <c r="K21" i="71" l="1"/>
  <c r="G24" i="71" l="1"/>
  <c r="G25" i="71" s="1"/>
  <c r="H27" i="71" s="1"/>
  <c r="K5" i="69" l="1"/>
  <c r="E16" i="69"/>
  <c r="L5" i="69"/>
  <c r="K8" i="58" l="1"/>
  <c r="H10" i="13" l="1"/>
  <c r="K8" i="20" l="1"/>
  <c r="H6" i="13" l="1"/>
</calcChain>
</file>

<file path=xl/sharedStrings.xml><?xml version="1.0" encoding="utf-8"?>
<sst xmlns="http://schemas.openxmlformats.org/spreadsheetml/2006/main" count="593" uniqueCount="279">
  <si>
    <t xml:space="preserve"> </t>
  </si>
  <si>
    <t>LOT</t>
  </si>
  <si>
    <t>Entreprise Validée</t>
  </si>
  <si>
    <t>SITUATIONS</t>
  </si>
  <si>
    <t>ENCAISSEMENTS</t>
  </si>
  <si>
    <t>DATE</t>
  </si>
  <si>
    <t>REFERENCE</t>
  </si>
  <si>
    <t>LIBELLE</t>
  </si>
  <si>
    <t>DEBIT</t>
  </si>
  <si>
    <t>N°CHEQUE</t>
  </si>
  <si>
    <t xml:space="preserve">AVANCE </t>
  </si>
  <si>
    <t xml:space="preserve">AVANCE N 01 </t>
  </si>
  <si>
    <t xml:space="preserve">AVANCE N 02 </t>
  </si>
  <si>
    <t xml:space="preserve">TOTAL AVANCE </t>
  </si>
  <si>
    <t xml:space="preserve">TABLEAU DES SITUATIONS ET ENCAISEMENTS </t>
  </si>
  <si>
    <t>ESPECE</t>
  </si>
  <si>
    <t xml:space="preserve">MONTANT  GLOBAL </t>
  </si>
  <si>
    <t xml:space="preserve">SITUATION </t>
  </si>
  <si>
    <t xml:space="preserve">SITUATION N1 </t>
  </si>
  <si>
    <t xml:space="preserve">SITUATION ARRETE  AU </t>
  </si>
  <si>
    <t xml:space="preserve">MODALITE DE PAIEMENT </t>
  </si>
  <si>
    <t>MONTANT DE LA SITUATION</t>
  </si>
  <si>
    <t>EURL  BIMHA CONSTRUCTION TAYEB</t>
  </si>
  <si>
    <t>SITUATION N2</t>
  </si>
  <si>
    <t>SITUATION N3</t>
  </si>
  <si>
    <t>SITUATION N4</t>
  </si>
  <si>
    <t xml:space="preserve">CHEQUE </t>
  </si>
  <si>
    <t xml:space="preserve">N CHEQUE </t>
  </si>
  <si>
    <t xml:space="preserve">AVANCE SUR  SITUATION  </t>
  </si>
  <si>
    <t xml:space="preserve">Crénance </t>
  </si>
  <si>
    <t>RESTE A PAYE DE CHAQUE SITUATION</t>
  </si>
  <si>
    <t>MONTANT  DU MARCHE</t>
  </si>
  <si>
    <t>DATE DE PAIEMENT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</si>
  <si>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BELAIDI MOHAMED RIADH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</si>
  <si>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HAUT TENSION ELECTRICITE</t>
    </r>
  </si>
  <si>
    <t>BELAIDI MOHAMED RIADH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</si>
  <si>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TRAVAUX DE GAZ </t>
    </r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</si>
  <si>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ETS MEZIANI YOUNES </t>
    </r>
  </si>
  <si>
    <t>TOTAL AVANCE DE CHAQUE SITUATION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</si>
  <si>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ETB BENHADAD RIDHA (BAHI  )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</si>
  <si>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ETANCHIETE</t>
    </r>
  </si>
  <si>
    <t>SITUATION N1</t>
  </si>
  <si>
    <t>CHEQUE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</si>
  <si>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TELMAT MOHAMED </t>
    </r>
  </si>
  <si>
    <t>TELMAT MOHAMED</t>
  </si>
  <si>
    <t>cheque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</si>
  <si>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RAFFA LAHCENE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</si>
  <si>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CUISINE </t>
    </r>
  </si>
  <si>
    <t>.20/05/2024</t>
  </si>
  <si>
    <t>AVANCE 01</t>
  </si>
  <si>
    <t>AVANCE 02</t>
  </si>
  <si>
    <t>AVANCE 03</t>
  </si>
  <si>
    <t>SITUATION 1</t>
  </si>
  <si>
    <t>SITUATION 2</t>
  </si>
  <si>
    <t>AVANCE N 03</t>
  </si>
  <si>
    <t>AVANCE N 04</t>
  </si>
  <si>
    <t>AVANCE N 05</t>
  </si>
  <si>
    <t xml:space="preserve">SIT 01                 </t>
  </si>
  <si>
    <t>REALISATION DES TRAVAUX</t>
  </si>
  <si>
    <t xml:space="preserve">SIT 02                 </t>
  </si>
  <si>
    <t xml:space="preserve">ST 03/2022             </t>
  </si>
  <si>
    <t xml:space="preserve">ST 04/2022             </t>
  </si>
  <si>
    <t xml:space="preserve">ST 05/2022             </t>
  </si>
  <si>
    <t xml:space="preserve">ST 06/2022             </t>
  </si>
  <si>
    <t xml:space="preserve">ST 07/2022             </t>
  </si>
  <si>
    <t xml:space="preserve">ST 08/2022             </t>
  </si>
  <si>
    <t xml:space="preserve">ST 09/2022             </t>
  </si>
  <si>
    <t xml:space="preserve">SIT 10/2023            </t>
  </si>
  <si>
    <t xml:space="preserve">SIT 11/2023            </t>
  </si>
  <si>
    <t xml:space="preserve">SIT 12/2023            </t>
  </si>
  <si>
    <t xml:space="preserve">SIT 13/2023            </t>
  </si>
  <si>
    <t xml:space="preserve">SIT 14/2023            </t>
  </si>
  <si>
    <t xml:space="preserve">SIT 15/2023            </t>
  </si>
  <si>
    <t xml:space="preserve">SIT 16/2023            </t>
  </si>
  <si>
    <t xml:space="preserve">SIT 17/2023            </t>
  </si>
  <si>
    <t xml:space="preserve">CHQ 469674             </t>
  </si>
  <si>
    <t>SIT 18/2023</t>
  </si>
  <si>
    <t xml:space="preserve">CHQ 4078456            </t>
  </si>
  <si>
    <t>SIT 19/2023</t>
  </si>
  <si>
    <t xml:space="preserve">CHQ 4078458            </t>
  </si>
  <si>
    <t>SIT 20/2023</t>
  </si>
  <si>
    <t xml:space="preserve">CHQ 4078467            </t>
  </si>
  <si>
    <t>SIT 21/2023</t>
  </si>
  <si>
    <t xml:space="preserve">CHQ 4078471            </t>
  </si>
  <si>
    <t>SIT 22/2024</t>
  </si>
  <si>
    <t xml:space="preserve">CHQ 4078476            </t>
  </si>
  <si>
    <t>SIT 23/2024</t>
  </si>
  <si>
    <t xml:space="preserve">CHQ 4078479            </t>
  </si>
  <si>
    <t>CHQ 470107</t>
  </si>
  <si>
    <t>CHQ 470190</t>
  </si>
  <si>
    <t>ENCAISSEMENT ESPECE</t>
  </si>
  <si>
    <t>CHEQ140624</t>
  </si>
  <si>
    <t>TOTAL</t>
  </si>
  <si>
    <t xml:space="preserve">date de depot </t>
  </si>
  <si>
    <t>N° Facture</t>
  </si>
  <si>
    <t>N° Commande</t>
  </si>
  <si>
    <t>Date Facturation</t>
  </si>
  <si>
    <t>Total HT remisé</t>
  </si>
  <si>
    <t>TOTAL FACTURE ttc</t>
  </si>
  <si>
    <t>rejeté</t>
  </si>
  <si>
    <t>24003178</t>
  </si>
  <si>
    <t>5088293</t>
  </si>
  <si>
    <t>Total paiement</t>
  </si>
  <si>
    <t>Total facturation</t>
  </si>
  <si>
    <t>Total</t>
  </si>
  <si>
    <t>Créance</t>
  </si>
  <si>
    <t xml:space="preserve">FERHAT  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</si>
  <si>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MED BATIMENT 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</si>
  <si>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PARABOLE </t>
    </r>
  </si>
  <si>
    <r>
      <t xml:space="preserve">SOUS TRAITANT </t>
    </r>
    <r>
      <rPr>
        <b/>
        <u/>
        <sz val="10"/>
        <color rgb="FF000000"/>
        <rFont val="Cambria"/>
        <family val="1"/>
      </rPr>
      <t>: RAMMAS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</si>
  <si>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PASSEREL</t>
    </r>
  </si>
  <si>
    <t>AVANCE N 02</t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</si>
  <si>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direction general</t>
    </r>
  </si>
  <si>
    <t xml:space="preserve">LA DATE DU CHEQUE  </t>
  </si>
  <si>
    <t xml:space="preserve">N DE CHEQUE </t>
  </si>
  <si>
    <t>EDOOR</t>
  </si>
  <si>
    <t xml:space="preserve">AVENANT EDOOR </t>
  </si>
  <si>
    <t>0 470441</t>
  </si>
  <si>
    <t>0 470488</t>
  </si>
  <si>
    <t>0 470489</t>
  </si>
  <si>
    <t>Porte intérieur</t>
  </si>
  <si>
    <t>0 140566</t>
  </si>
  <si>
    <t>0 140646</t>
  </si>
  <si>
    <t>0 140568</t>
  </si>
  <si>
    <t>0 470428</t>
  </si>
  <si>
    <t>0 140585</t>
  </si>
  <si>
    <t xml:space="preserve">ANNEE </t>
  </si>
  <si>
    <t xml:space="preserve">MONTANT MARCHE </t>
  </si>
  <si>
    <t xml:space="preserve">espece </t>
  </si>
  <si>
    <t>0 470465</t>
  </si>
  <si>
    <t xml:space="preserve">   </t>
  </si>
  <si>
    <t xml:space="preserve">ESPECE </t>
  </si>
  <si>
    <t>espece</t>
  </si>
  <si>
    <t>LOT :  ETANCHIETE PAX   JOINT ENTRE BLOC</t>
  </si>
  <si>
    <t xml:space="preserve"> .../…./2024</t>
  </si>
  <si>
    <t>…./10/2023</t>
  </si>
  <si>
    <t>O470185</t>
  </si>
  <si>
    <t>O140594</t>
  </si>
  <si>
    <t>O470427</t>
  </si>
  <si>
    <t>O470464</t>
  </si>
  <si>
    <t>AVANCE 04</t>
  </si>
  <si>
    <t>0 140617</t>
  </si>
  <si>
    <t>0.140564</t>
  </si>
  <si>
    <t>0.470425</t>
  </si>
  <si>
    <t>0.470468</t>
  </si>
  <si>
    <t>AUCUNE SITUATION</t>
  </si>
  <si>
    <t>SITUATION N4 ET DEFINITIVE</t>
  </si>
  <si>
    <t xml:space="preserve"> ETB BENHADAD RIDHA </t>
  </si>
  <si>
    <t>O140593</t>
  </si>
  <si>
    <t>O140587</t>
  </si>
  <si>
    <t>SITUATION N3 ET DEFINITIF</t>
  </si>
  <si>
    <t>O 140569</t>
  </si>
  <si>
    <t>O140570</t>
  </si>
  <si>
    <t>O 470430</t>
  </si>
  <si>
    <t xml:space="preserve">OBSERVATION </t>
  </si>
  <si>
    <r>
      <t>UN CHEQUE DE GARANTIE REMIS LE 14</t>
    </r>
    <r>
      <rPr>
        <sz val="9"/>
        <color rgb="FF000000"/>
        <rFont val="Leelawadee"/>
        <family val="2"/>
      </rPr>
      <t>/</t>
    </r>
    <r>
      <rPr>
        <sz val="9"/>
        <color rgb="FF000000"/>
        <rFont val="Times New Roman"/>
        <family val="1"/>
      </rPr>
      <t>05</t>
    </r>
    <r>
      <rPr>
        <sz val="9"/>
        <color rgb="FF000000"/>
        <rFont val="Leelawadee"/>
        <family val="2"/>
      </rPr>
      <t>/</t>
    </r>
    <r>
      <rPr>
        <sz val="9"/>
        <color rgb="FF000000"/>
        <rFont val="Times New Roman"/>
        <family val="1"/>
      </rPr>
      <t>2024 DE 86 982.00 DA N DE CHEQUE OOOOO32</t>
    </r>
  </si>
  <si>
    <t xml:space="preserve">N pcs </t>
  </si>
  <si>
    <t xml:space="preserve">nature </t>
  </si>
  <si>
    <t>Montant Payé</t>
  </si>
  <si>
    <t>Acompte</t>
  </si>
  <si>
    <t xml:space="preserve">Créance </t>
  </si>
  <si>
    <t>Totalité</t>
  </si>
  <si>
    <t>0470154</t>
  </si>
  <si>
    <t>0140627</t>
  </si>
  <si>
    <t>0140639</t>
  </si>
  <si>
    <t>0140634</t>
  </si>
  <si>
    <t>0140567</t>
  </si>
  <si>
    <t>0140573</t>
  </si>
  <si>
    <t>0140577</t>
  </si>
  <si>
    <t>0140592</t>
  </si>
  <si>
    <t>0140600</t>
  </si>
  <si>
    <t>O470463</t>
  </si>
  <si>
    <r>
      <t xml:space="preserve">SOUS TRAITANT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SID ABDELHAMID</t>
    </r>
  </si>
  <si>
    <r>
      <t xml:space="preserve">LOT </t>
    </r>
    <r>
      <rPr>
        <b/>
        <u/>
        <sz val="10"/>
        <color rgb="FF000000"/>
        <rFont val="Cambria"/>
        <family val="1"/>
      </rPr>
      <t>:</t>
    </r>
    <r>
      <rPr>
        <b/>
        <u/>
        <sz val="10"/>
        <color rgb="FF000000"/>
        <rFont val="Times New Roman"/>
        <family val="1"/>
      </rPr>
      <t xml:space="preserve">  F</t>
    </r>
    <r>
      <rPr>
        <b/>
        <u/>
        <sz val="10"/>
        <color rgb="FF000000"/>
        <rFont val="Leelawadee"/>
        <family val="2"/>
      </rPr>
      <t>/</t>
    </r>
    <r>
      <rPr>
        <b/>
        <u/>
        <sz val="10"/>
        <color rgb="FF000000"/>
        <rFont val="Times New Roman"/>
        <family val="1"/>
      </rPr>
      <t>P MONOCOUCHE</t>
    </r>
  </si>
  <si>
    <t>O470426</t>
  </si>
  <si>
    <t>0 140629</t>
  </si>
  <si>
    <t>FACTURE 01</t>
  </si>
  <si>
    <t>FACTURE 02</t>
  </si>
  <si>
    <t>FACTURE 01 AVENANT</t>
  </si>
  <si>
    <t>N DE SITUATION</t>
  </si>
  <si>
    <t xml:space="preserve">MONTANT DE LA SITUATION </t>
  </si>
  <si>
    <t>AVANCE SITUATION</t>
  </si>
  <si>
    <t>total des avance</t>
  </si>
  <si>
    <t xml:space="preserve">creance </t>
  </si>
  <si>
    <t xml:space="preserve">N DE FACTURE </t>
  </si>
  <si>
    <t>0 140608</t>
  </si>
  <si>
    <t>0 470153</t>
  </si>
  <si>
    <t>RAFFA LAHCENE</t>
  </si>
  <si>
    <t>N DE situation</t>
  </si>
  <si>
    <t>0 140619</t>
  </si>
  <si>
    <t xml:space="preserve">SITUATION N01 </t>
  </si>
  <si>
    <t>0 140630</t>
  </si>
  <si>
    <t>SITUATION N02</t>
  </si>
  <si>
    <t>SITUATION N03</t>
  </si>
  <si>
    <t>SITUATION N04</t>
  </si>
  <si>
    <t>MODALITE DE PAIEMENT H16:H21</t>
  </si>
  <si>
    <t>0 140625</t>
  </si>
  <si>
    <t xml:space="preserve">EURL  BIMHA CONSTRUCTION </t>
  </si>
  <si>
    <t>SITUATION N05</t>
  </si>
  <si>
    <t>SITUATION N06</t>
  </si>
  <si>
    <t>SITUATION N 1 RETENUE DE GARANTIE</t>
  </si>
  <si>
    <t>cheq 0140557</t>
  </si>
  <si>
    <t>O140616</t>
  </si>
  <si>
    <t>Total 5%</t>
  </si>
  <si>
    <t xml:space="preserve">AUCUNE SITUATION DEPOSE ENCORE </t>
  </si>
  <si>
    <t xml:space="preserve">ESPECE A RECUPERE LORS LA </t>
  </si>
  <si>
    <t xml:space="preserve"> 16/01/2023</t>
  </si>
  <si>
    <t xml:space="preserve">VIREMENT </t>
  </si>
  <si>
    <t>CHEQ140635</t>
  </si>
  <si>
    <t>O140645</t>
  </si>
  <si>
    <t>MONTANT MARCHE</t>
  </si>
  <si>
    <t xml:space="preserve">TOTAL SITUATION </t>
  </si>
  <si>
    <t>SARL EDOOR</t>
  </si>
  <si>
    <t>SITUATION ARRETE  AU</t>
  </si>
  <si>
    <t xml:space="preserve">creance des situation </t>
  </si>
  <si>
    <t xml:space="preserve"> SPA OXXO ALGERIE </t>
  </si>
  <si>
    <t>TOTAL DES STUATION</t>
  </si>
  <si>
    <t>0 426498</t>
  </si>
  <si>
    <r>
      <t xml:space="preserve">SARL AYTUNC YAPI        20 </t>
    </r>
    <r>
      <rPr>
        <b/>
        <sz val="8"/>
        <color rgb="FF000000"/>
        <rFont val="Calibri"/>
        <family val="2"/>
      </rPr>
      <t>/</t>
    </r>
    <r>
      <rPr>
        <b/>
        <sz val="8"/>
        <color rgb="FF000000"/>
        <rFont val="Times New Roman"/>
        <family val="1"/>
      </rPr>
      <t xml:space="preserve">11 </t>
    </r>
    <r>
      <rPr>
        <b/>
        <sz val="8"/>
        <color rgb="FF000000"/>
        <rFont val="Calibri"/>
        <family val="2"/>
      </rPr>
      <t>/</t>
    </r>
    <r>
      <rPr>
        <b/>
        <sz val="8"/>
        <color rgb="FF000000"/>
        <rFont val="Times New Roman"/>
        <family val="1"/>
      </rPr>
      <t>2024</t>
    </r>
  </si>
  <si>
    <t xml:space="preserve">REALISATION DES TRAVAUX  VRD </t>
  </si>
  <si>
    <t>REALISATION DES TRAVAUX VRD</t>
  </si>
  <si>
    <t>BELAIDI NOUR EDDINE</t>
  </si>
  <si>
    <t xml:space="preserve">crance </t>
  </si>
  <si>
    <t>SID ABDELHAMID</t>
  </si>
  <si>
    <t xml:space="preserve">DOIT A LA SARL DENDANI PROMOTION </t>
  </si>
  <si>
    <t xml:space="preserve">RETENUE DE GARANTIE </t>
  </si>
  <si>
    <t xml:space="preserve">retenue de garantie </t>
  </si>
  <si>
    <t xml:space="preserve">retenue da garantie </t>
  </si>
  <si>
    <t>SIT 24/2024</t>
  </si>
  <si>
    <t>SIT 25/2024</t>
  </si>
  <si>
    <t xml:space="preserve">TOTAL DES SITUATION </t>
  </si>
  <si>
    <t>EURL BIMHA CONSTRUCTION</t>
  </si>
  <si>
    <t>SITUATION ARRETE LE</t>
  </si>
  <si>
    <t>-</t>
  </si>
  <si>
    <t xml:space="preserve">LA DATE DU PAIEMENT </t>
  </si>
  <si>
    <r>
      <rPr>
        <b/>
        <u/>
        <sz val="12"/>
        <color rgb="FF000000"/>
        <rFont val="Times New Roman"/>
        <family val="1"/>
      </rPr>
      <t>LOT  01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 branchement gaz extérieur RT</t>
    </r>
  </si>
  <si>
    <r>
      <t xml:space="preserve">SOUS TRAITANT </t>
    </r>
    <r>
      <rPr>
        <b/>
        <u/>
        <sz val="10"/>
        <color rgb="FF000000"/>
        <rFont val="Cambria"/>
        <family val="1"/>
      </rPr>
      <t>: EURL REMMAS</t>
    </r>
  </si>
  <si>
    <t>EURL REMMAS</t>
  </si>
  <si>
    <t>piece de finition</t>
  </si>
  <si>
    <t>Panneaux Sandwichs</t>
  </si>
  <si>
    <t>location clarque</t>
  </si>
  <si>
    <t xml:space="preserve">travaux amenagement exterieur de la facades </t>
  </si>
  <si>
    <t>N  DE SITUATION</t>
  </si>
  <si>
    <t xml:space="preserve">MONTANT DE SITUATION </t>
  </si>
  <si>
    <t xml:space="preserve">Total des avances </t>
  </si>
  <si>
    <t xml:space="preserve">CREANCE  </t>
  </si>
  <si>
    <t xml:space="preserve">AVANCE POUR LA MISE A EAU </t>
  </si>
  <si>
    <t>…./…/2024</t>
  </si>
  <si>
    <t xml:space="preserve">Ccreance </t>
  </si>
  <si>
    <t>MONTANT GLOBAL</t>
  </si>
  <si>
    <t>SITUATION 3</t>
  </si>
  <si>
    <t xml:space="preserve">SITUATION N5 ET DEFENITIVE </t>
  </si>
  <si>
    <t>/</t>
  </si>
  <si>
    <r>
      <t xml:space="preserve">SOUS TRAITANT </t>
    </r>
    <r>
      <rPr>
        <b/>
        <u/>
        <sz val="12"/>
        <color rgb="FF000000"/>
        <rFont val="Cambria"/>
        <family val="1"/>
      </rPr>
      <t>:</t>
    </r>
    <r>
      <rPr>
        <b/>
        <u/>
        <sz val="12"/>
        <color rgb="FF000000"/>
        <rFont val="Times New Roman"/>
        <family val="1"/>
      </rPr>
      <t xml:space="preserve"> BELAIDI NOUR EDDINE</t>
    </r>
  </si>
  <si>
    <t>LOT  02:  Mise a la terre</t>
  </si>
  <si>
    <t xml:space="preserve">LOT  03:  CONDUITE EAU </t>
  </si>
  <si>
    <r>
      <t>1 LES JARDINS DE L</t>
    </r>
    <r>
      <rPr>
        <sz val="10"/>
        <color rgb="FF000000"/>
        <rFont val="Verdana"/>
        <family val="2"/>
      </rPr>
      <t>'</t>
    </r>
    <r>
      <rPr>
        <sz val="8.6"/>
        <color rgb="FF000000"/>
        <rFont val="Times New Roman"/>
        <family val="1"/>
      </rPr>
      <t xml:space="preserve">OPERAS </t>
    </r>
  </si>
  <si>
    <t xml:space="preserve">LA DIRECTION GENERAL </t>
  </si>
  <si>
    <t xml:space="preserve">TOTAL </t>
  </si>
  <si>
    <t>TOTAL SITUATION</t>
  </si>
  <si>
    <t>²</t>
  </si>
  <si>
    <t xml:space="preserve">pas de marche </t>
  </si>
  <si>
    <t xml:space="preserve">CREANCE TOTAL </t>
  </si>
  <si>
    <t xml:space="preserve">pas de decgarge </t>
  </si>
  <si>
    <t xml:space="preserve">pas de situ </t>
  </si>
  <si>
    <t>SIT 03</t>
  </si>
  <si>
    <t>SIT 27/2025</t>
  </si>
  <si>
    <t>SIT 26/2024</t>
  </si>
  <si>
    <t xml:space="preserve">DERNIERE </t>
  </si>
  <si>
    <t xml:space="preserve">Total retenue de garantie </t>
  </si>
  <si>
    <t xml:space="preserve">pas de decharge </t>
  </si>
  <si>
    <r>
      <rPr>
        <b/>
        <sz val="10"/>
        <color rgb="FF000000"/>
        <rFont val="Times New Roman"/>
        <family val="1"/>
      </rPr>
      <t>NOTE :</t>
    </r>
    <r>
      <rPr>
        <sz val="10"/>
        <color rgb="FF000000"/>
        <rFont val="Times New Roman"/>
        <charset val="204"/>
      </rPr>
      <t xml:space="preserve">RETENUE DE GARANTIE A DEBLOQUE LES TRAVAUX ACHEVE LE MOINS MAI 2024 </t>
    </r>
  </si>
  <si>
    <t>SIT N1</t>
  </si>
  <si>
    <t xml:space="preserve">Travaux ouled fayat les garde de corps ext  rampeescalier parking sous sol  rample escalier duplex +porte local technique </t>
  </si>
  <si>
    <t xml:space="preserve">travaux dg etagere magesin et cuisine et porte chaussure pour moussala </t>
  </si>
  <si>
    <t xml:space="preserve">AVANCE N 03 pour acht de marchandise </t>
  </si>
  <si>
    <t xml:space="preserve">MONTANT TOTAL DU NV MARCHE </t>
  </si>
  <si>
    <r>
      <t>retenue de garatie 5</t>
    </r>
    <r>
      <rPr>
        <b/>
        <sz val="10"/>
        <color rgb="FF000000"/>
        <rFont val="Times New Roman"/>
        <family val="1"/>
      </rPr>
      <t>%</t>
    </r>
  </si>
  <si>
    <t xml:space="preserve">Total des   SITUATION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</si>
</sst>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&quot; &quot;#,##0&quot; &quot;;&quot;-&quot;#,##0&quot; &quot;;&quot; -&quot;00&quot; &quot;;&quot; &quot;@&quot; &quot;"/>
    <numFmt numFmtId="166" formatCode="&quot; &quot;#,##0.00&quot; &quot;;&quot;-&quot;#,##0.00&quot; &quot;;&quot; -&quot;00&quot; &quot;;&quot; &quot;@&quot; &quot;"/>
    <numFmt numFmtId="167" formatCode="&quot; &quot;#,##0.00&quot;   &quot;;&quot;-&quot;#,##0.00&quot;   &quot;;&quot; -&quot;00&quot;   &quot;;&quot; &quot;@&quot; &quot;"/>
  </numFmts>
  <fonts count="5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9"/>
      <color rgb="FF000000"/>
      <name val="Calibri"/>
      <family val="2"/>
    </font>
    <font>
      <b/>
      <sz val="9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u/>
      <sz val="10"/>
      <color rgb="FF000000"/>
      <name val="Times New Roman"/>
      <family val="1"/>
    </font>
    <font>
      <b/>
      <u/>
      <sz val="10"/>
      <color rgb="FF000000"/>
      <name val="Cambria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8"/>
      <name val="Times New Roman"/>
      <family val="1"/>
    </font>
    <font>
      <b/>
      <sz val="10"/>
      <color rgb="FF000000"/>
      <name val="Calibri"/>
      <family val="2"/>
    </font>
    <font>
      <b/>
      <sz val="24"/>
      <color rgb="FF000000"/>
      <name val="Calibri"/>
      <family val="2"/>
    </font>
    <font>
      <b/>
      <sz val="10"/>
      <color theme="1"/>
      <name val="Times New Roman"/>
      <family val="1"/>
    </font>
    <font>
      <b/>
      <sz val="11"/>
      <color rgb="FFFFFF00"/>
      <name val="Calibri"/>
      <family val="2"/>
      <scheme val="minor"/>
    </font>
    <font>
      <b/>
      <sz val="9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theme="1"/>
      <name val="Times New Roman"/>
      <family val="1"/>
    </font>
    <font>
      <b/>
      <sz val="20"/>
      <color rgb="FFFF0000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22"/>
      <color rgb="FF000000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color theme="1"/>
      <name val="Calibri"/>
      <family val="2"/>
      <scheme val="minor"/>
    </font>
    <font>
      <sz val="9"/>
      <color rgb="FF000000"/>
      <name val="Leelawadee"/>
      <family val="2"/>
    </font>
    <font>
      <b/>
      <sz val="10"/>
      <color rgb="FFFFFF00"/>
      <name val="Calibri"/>
      <family val="2"/>
      <scheme val="minor"/>
    </font>
    <font>
      <b/>
      <sz val="12"/>
      <color theme="1"/>
      <name val="Times New Roman"/>
      <family val="1"/>
    </font>
    <font>
      <sz val="22"/>
      <color rgb="FF000000"/>
      <name val="Times New Roman"/>
      <family val="1"/>
    </font>
    <font>
      <b/>
      <u/>
      <sz val="10"/>
      <color rgb="FF000000"/>
      <name val="Leelawadee"/>
      <family val="2"/>
    </font>
    <font>
      <sz val="10"/>
      <color rgb="FF000000"/>
      <name val="Calibri"/>
      <family val="2"/>
    </font>
    <font>
      <b/>
      <sz val="11"/>
      <name val="Calibri"/>
      <family val="2"/>
    </font>
    <font>
      <b/>
      <sz val="9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Verdana"/>
      <family val="2"/>
    </font>
    <font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2"/>
      <color rgb="FF000000"/>
      <name val="Times New Roman"/>
      <family val="1"/>
    </font>
    <font>
      <b/>
      <u/>
      <sz val="12"/>
      <color rgb="FF000000"/>
      <name val="Cambria"/>
      <family val="1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b/>
      <u/>
      <sz val="11"/>
      <color rgb="FF000000"/>
      <name val="Times New Roman"/>
      <family val="1"/>
    </font>
    <font>
      <b/>
      <sz val="10"/>
      <name val="Calibri"/>
      <family val="2"/>
    </font>
    <font>
      <sz val="8.6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24">
    <xf numFmtId="0" fontId="0" fillId="0" borderId="0" xfId="0" applyAlignment="1">
      <alignment horizontal="left" vertical="top"/>
    </xf>
    <xf numFmtId="43" fontId="0" fillId="0" borderId="0" xfId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0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9" fillId="0" borderId="0" xfId="0" applyFont="1"/>
    <xf numFmtId="0" fontId="10" fillId="0" borderId="5" xfId="0" applyFont="1" applyBorder="1" applyAlignment="1">
      <alignment horizontal="center" wrapText="1"/>
    </xf>
    <xf numFmtId="2" fontId="10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43" fontId="0" fillId="0" borderId="0" xfId="1" applyFont="1"/>
    <xf numFmtId="43" fontId="0" fillId="0" borderId="0" xfId="1" applyFont="1" applyAlignment="1">
      <alignment horizontal="center" vertical="center"/>
    </xf>
    <xf numFmtId="43" fontId="0" fillId="0" borderId="0" xfId="0" applyNumberFormat="1" applyAlignment="1">
      <alignment horizontal="left" vertical="top"/>
    </xf>
    <xf numFmtId="43" fontId="14" fillId="0" borderId="5" xfId="1" applyFont="1" applyBorder="1" applyAlignment="1">
      <alignment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43" fontId="14" fillId="0" borderId="5" xfId="1" applyFont="1" applyBorder="1" applyAlignment="1">
      <alignment horizontal="center" vertical="center"/>
    </xf>
    <xf numFmtId="43" fontId="0" fillId="0" borderId="5" xfId="1" applyFont="1" applyBorder="1" applyAlignment="1">
      <alignment horizontal="left" vertical="top"/>
    </xf>
    <xf numFmtId="43" fontId="0" fillId="0" borderId="5" xfId="1" applyFont="1" applyBorder="1" applyAlignment="1">
      <alignment horizontal="center" vertical="center"/>
    </xf>
    <xf numFmtId="43" fontId="3" fillId="0" borderId="5" xfId="1" applyFont="1" applyFill="1" applyBorder="1" applyAlignment="1">
      <alignment horizontal="center" vertical="center" shrinkToFit="1"/>
    </xf>
    <xf numFmtId="0" fontId="5" fillId="3" borderId="5" xfId="0" applyFont="1" applyFill="1" applyBorder="1" applyAlignment="1">
      <alignment horizontal="center" vertical="center" wrapText="1"/>
    </xf>
    <xf numFmtId="43" fontId="2" fillId="0" borderId="0" xfId="1" applyFont="1" applyAlignment="1">
      <alignment horizontal="left" vertical="top"/>
    </xf>
    <xf numFmtId="43" fontId="11" fillId="0" borderId="17" xfId="1" applyFont="1" applyBorder="1" applyAlignment="1">
      <alignment vertical="center"/>
    </xf>
    <xf numFmtId="43" fontId="5" fillId="3" borderId="5" xfId="1" applyFont="1" applyFill="1" applyBorder="1" applyAlignment="1">
      <alignment horizontal="center" vertical="center" wrapText="1"/>
    </xf>
    <xf numFmtId="43" fontId="5" fillId="0" borderId="5" xfId="1" applyFont="1" applyBorder="1" applyAlignment="1">
      <alignment horizontal="center" vertical="center"/>
    </xf>
    <xf numFmtId="43" fontId="17" fillId="0" borderId="5" xfId="1" applyFont="1" applyFill="1" applyBorder="1" applyAlignment="1">
      <alignment horizontal="left" vertical="center" indent="5" shrinkToFit="1"/>
    </xf>
    <xf numFmtId="43" fontId="14" fillId="0" borderId="5" xfId="1" applyFont="1" applyFill="1" applyBorder="1" applyAlignment="1">
      <alignment horizontal="center" vertical="center"/>
    </xf>
    <xf numFmtId="43" fontId="14" fillId="0" borderId="5" xfId="1" applyFont="1" applyFill="1" applyBorder="1" applyAlignment="1">
      <alignment vertical="center"/>
    </xf>
    <xf numFmtId="0" fontId="0" fillId="0" borderId="0" xfId="1" applyNumberFormat="1" applyFont="1"/>
    <xf numFmtId="0" fontId="0" fillId="0" borderId="0" xfId="1" applyNumberFormat="1" applyFont="1" applyAlignment="1">
      <alignment horizontal="left" vertical="top"/>
    </xf>
    <xf numFmtId="43" fontId="0" fillId="0" borderId="5" xfId="1" applyFont="1" applyFill="1" applyBorder="1" applyAlignment="1">
      <alignment vertical="center"/>
    </xf>
    <xf numFmtId="0" fontId="14" fillId="0" borderId="5" xfId="1" applyNumberFormat="1" applyFont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/>
    </xf>
    <xf numFmtId="43" fontId="21" fillId="0" borderId="5" xfId="1" applyFont="1" applyFill="1" applyBorder="1" applyAlignment="1">
      <alignment horizontal="right"/>
    </xf>
    <xf numFmtId="43" fontId="21" fillId="0" borderId="5" xfId="1" applyFont="1" applyFill="1" applyBorder="1" applyAlignment="1"/>
    <xf numFmtId="14" fontId="0" fillId="0" borderId="0" xfId="0" applyNumberFormat="1" applyAlignment="1">
      <alignment horizontal="center"/>
    </xf>
    <xf numFmtId="43" fontId="0" fillId="0" borderId="0" xfId="1" applyFont="1" applyAlignment="1">
      <alignment horizontal="right"/>
    </xf>
    <xf numFmtId="43" fontId="0" fillId="0" borderId="0" xfId="1" applyFont="1" applyAlignment="1"/>
    <xf numFmtId="14" fontId="2" fillId="0" borderId="5" xfId="0" applyNumberFormat="1" applyFont="1" applyBorder="1" applyAlignment="1">
      <alignment horizontal="center" vertical="center"/>
    </xf>
    <xf numFmtId="9" fontId="26" fillId="0" borderId="0" xfId="0" applyNumberFormat="1" applyFont="1"/>
    <xf numFmtId="43" fontId="0" fillId="0" borderId="0" xfId="1" applyFont="1" applyBorder="1" applyAlignment="1">
      <alignment horizontal="center" vertical="center"/>
    </xf>
    <xf numFmtId="43" fontId="0" fillId="0" borderId="0" xfId="1" applyFont="1" applyAlignment="1">
      <alignment horizontal="center"/>
    </xf>
    <xf numFmtId="43" fontId="0" fillId="0" borderId="0" xfId="1" applyFon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164" fontId="23" fillId="0" borderId="0" xfId="0" applyNumberFormat="1" applyFont="1" applyAlignment="1">
      <alignment horizontal="center"/>
    </xf>
    <xf numFmtId="0" fontId="2" fillId="0" borderId="5" xfId="0" applyFont="1" applyBorder="1" applyAlignment="1">
      <alignment horizontal="center" vertical="center"/>
    </xf>
    <xf numFmtId="14" fontId="0" fillId="0" borderId="5" xfId="0" applyNumberFormat="1" applyBorder="1" applyAlignment="1">
      <alignment vertical="center"/>
    </xf>
    <xf numFmtId="14" fontId="0" fillId="0" borderId="0" xfId="0" applyNumberFormat="1" applyAlignment="1">
      <alignment horizontal="left" vertical="top"/>
    </xf>
    <xf numFmtId="43" fontId="5" fillId="4" borderId="5" xfId="1" applyFont="1" applyFill="1" applyBorder="1" applyAlignment="1">
      <alignment horizontal="center" vertical="center"/>
    </xf>
    <xf numFmtId="14" fontId="0" fillId="0" borderId="5" xfId="0" applyNumberFormat="1" applyBorder="1" applyAlignment="1">
      <alignment horizontal="left" vertical="top"/>
    </xf>
    <xf numFmtId="43" fontId="2" fillId="0" borderId="5" xfId="1" applyFont="1" applyBorder="1" applyAlignment="1">
      <alignment horizontal="center" vertical="center"/>
    </xf>
    <xf numFmtId="14" fontId="0" fillId="0" borderId="5" xfId="1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43" fontId="2" fillId="0" borderId="5" xfId="1" applyFont="1" applyBorder="1" applyAlignment="1">
      <alignment horizontal="center" vertical="center" wrapText="1"/>
    </xf>
    <xf numFmtId="43" fontId="14" fillId="0" borderId="5" xfId="1" applyFont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29" fillId="3" borderId="23" xfId="0" applyFont="1" applyFill="1" applyBorder="1" applyAlignment="1">
      <alignment horizontal="center" vertical="center" wrapText="1"/>
    </xf>
    <xf numFmtId="2" fontId="1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9" fillId="5" borderId="12" xfId="0" applyFont="1" applyFill="1" applyBorder="1" applyAlignment="1">
      <alignment horizontal="center" vertical="center" wrapText="1"/>
    </xf>
    <xf numFmtId="0" fontId="20" fillId="0" borderId="5" xfId="1" applyNumberFormat="1" applyFont="1" applyBorder="1" applyAlignment="1">
      <alignment horizontal="center"/>
    </xf>
    <xf numFmtId="14" fontId="31" fillId="5" borderId="10" xfId="1" applyNumberFormat="1" applyFont="1" applyFill="1" applyBorder="1" applyAlignment="1">
      <alignment horizontal="center" vertical="center" wrapText="1"/>
    </xf>
    <xf numFmtId="0" fontId="31" fillId="5" borderId="10" xfId="0" applyFont="1" applyFill="1" applyBorder="1" applyAlignment="1">
      <alignment horizontal="center" vertical="center" wrapText="1"/>
    </xf>
    <xf numFmtId="43" fontId="31" fillId="5" borderId="10" xfId="1" applyFont="1" applyFill="1" applyBorder="1" applyAlignment="1">
      <alignment horizontal="center" vertical="center"/>
    </xf>
    <xf numFmtId="43" fontId="31" fillId="5" borderId="10" xfId="1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/>
    </xf>
    <xf numFmtId="14" fontId="20" fillId="0" borderId="0" xfId="0" applyNumberFormat="1" applyFont="1" applyAlignment="1">
      <alignment horizontal="center"/>
    </xf>
    <xf numFmtId="43" fontId="20" fillId="0" borderId="0" xfId="1" applyFont="1" applyBorder="1" applyAlignment="1">
      <alignment horizontal="right"/>
    </xf>
    <xf numFmtId="43" fontId="20" fillId="0" borderId="0" xfId="1" applyFont="1" applyFill="1" applyBorder="1" applyAlignment="1">
      <alignment horizontal="right"/>
    </xf>
    <xf numFmtId="0" fontId="20" fillId="0" borderId="0" xfId="1" applyNumberFormat="1" applyFont="1" applyBorder="1" applyAlignment="1">
      <alignment horizontal="center"/>
    </xf>
    <xf numFmtId="0" fontId="20" fillId="0" borderId="0" xfId="0" applyFont="1"/>
    <xf numFmtId="0" fontId="20" fillId="0" borderId="0" xfId="1" applyNumberFormat="1" applyFont="1" applyFill="1" applyBorder="1" applyAlignment="1">
      <alignment horizontal="center"/>
    </xf>
    <xf numFmtId="14" fontId="35" fillId="0" borderId="10" xfId="1" applyNumberFormat="1" applyFont="1" applyFill="1" applyBorder="1" applyAlignment="1">
      <alignment horizontal="center" vertical="center" shrinkToFit="1"/>
    </xf>
    <xf numFmtId="14" fontId="3" fillId="0" borderId="5" xfId="1" applyNumberFormat="1" applyFont="1" applyFill="1" applyBorder="1" applyAlignment="1">
      <alignment horizontal="center" vertical="center" shrinkToFit="1"/>
    </xf>
    <xf numFmtId="0" fontId="21" fillId="0" borderId="5" xfId="0" applyFont="1" applyBorder="1" applyAlignment="1">
      <alignment horizontal="center"/>
    </xf>
    <xf numFmtId="1" fontId="21" fillId="0" borderId="5" xfId="0" applyNumberFormat="1" applyFont="1" applyBorder="1" applyAlignment="1">
      <alignment horizontal="center"/>
    </xf>
    <xf numFmtId="14" fontId="21" fillId="0" borderId="5" xfId="0" applyNumberFormat="1" applyFont="1" applyBorder="1" applyAlignment="1">
      <alignment horizontal="center"/>
    </xf>
    <xf numFmtId="0" fontId="37" fillId="4" borderId="27" xfId="0" applyFont="1" applyFill="1" applyBorder="1" applyAlignment="1">
      <alignment horizontal="center" vertical="center" wrapText="1"/>
    </xf>
    <xf numFmtId="43" fontId="37" fillId="4" borderId="27" xfId="1" applyFont="1" applyFill="1" applyBorder="1" applyAlignment="1">
      <alignment horizontal="center" vertical="center" wrapText="1"/>
    </xf>
    <xf numFmtId="43" fontId="37" fillId="4" borderId="31" xfId="1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43" fontId="10" fillId="0" borderId="5" xfId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wrapText="1" shrinkToFit="1"/>
    </xf>
    <xf numFmtId="43" fontId="10" fillId="0" borderId="0" xfId="1" applyFont="1" applyFill="1" applyBorder="1" applyAlignment="1">
      <alignment horizontal="center" vertical="center" shrinkToFit="1"/>
    </xf>
    <xf numFmtId="14" fontId="10" fillId="0" borderId="0" xfId="1" applyNumberFormat="1" applyFont="1" applyFill="1" applyBorder="1" applyAlignment="1">
      <alignment horizontal="center" vertical="center" shrinkToFit="1"/>
    </xf>
    <xf numFmtId="0" fontId="36" fillId="4" borderId="28" xfId="0" applyFont="1" applyFill="1" applyBorder="1" applyAlignment="1">
      <alignment horizontal="center" vertical="center" wrapText="1"/>
    </xf>
    <xf numFmtId="43" fontId="36" fillId="4" borderId="28" xfId="1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horizontal="left" vertical="top"/>
    </xf>
    <xf numFmtId="0" fontId="18" fillId="0" borderId="5" xfId="1" applyNumberFormat="1" applyFont="1" applyFill="1" applyBorder="1" applyAlignment="1">
      <alignment horizontal="center" vertical="center"/>
    </xf>
    <xf numFmtId="0" fontId="18" fillId="0" borderId="5" xfId="1" applyNumberFormat="1" applyFont="1" applyBorder="1" applyAlignment="1">
      <alignment horizontal="center" vertical="center"/>
    </xf>
    <xf numFmtId="0" fontId="18" fillId="0" borderId="5" xfId="1" applyNumberFormat="1" applyFont="1" applyBorder="1" applyAlignment="1">
      <alignment horizontal="center" vertical="center" wrapText="1"/>
    </xf>
    <xf numFmtId="0" fontId="5" fillId="0" borderId="0" xfId="1" applyNumberFormat="1" applyFont="1" applyAlignment="1">
      <alignment horizontal="left" vertical="top"/>
    </xf>
    <xf numFmtId="43" fontId="10" fillId="0" borderId="5" xfId="1" applyFont="1" applyBorder="1" applyAlignment="1">
      <alignment horizontal="center" vertical="center"/>
    </xf>
    <xf numFmtId="0" fontId="10" fillId="0" borderId="5" xfId="1" applyNumberFormat="1" applyFont="1" applyFill="1" applyBorder="1" applyAlignment="1">
      <alignment horizontal="center" vertical="center" shrinkToFit="1"/>
    </xf>
    <xf numFmtId="43" fontId="16" fillId="0" borderId="10" xfId="1" applyFont="1" applyFill="1" applyBorder="1" applyAlignment="1">
      <alignment horizontal="center" vertical="center" shrinkToFit="1"/>
    </xf>
    <xf numFmtId="43" fontId="16" fillId="0" borderId="5" xfId="1" applyFont="1" applyFill="1" applyBorder="1" applyAlignment="1">
      <alignment horizontal="center" vertical="center" shrinkToFit="1"/>
    </xf>
    <xf numFmtId="43" fontId="5" fillId="0" borderId="0" xfId="1" applyFont="1" applyAlignment="1">
      <alignment horizontal="left" vertical="top"/>
    </xf>
    <xf numFmtId="2" fontId="10" fillId="0" borderId="6" xfId="0" applyNumberFormat="1" applyFont="1" applyBorder="1" applyAlignment="1">
      <alignment horizontal="center" wrapText="1"/>
    </xf>
    <xf numFmtId="0" fontId="11" fillId="0" borderId="0" xfId="0" applyFont="1" applyAlignment="1">
      <alignment vertical="center"/>
    </xf>
    <xf numFmtId="43" fontId="10" fillId="0" borderId="5" xfId="1" applyFont="1" applyFill="1" applyBorder="1" applyAlignment="1">
      <alignment horizontal="center" vertical="center" wrapText="1" shrinkToFit="1"/>
    </xf>
    <xf numFmtId="43" fontId="36" fillId="0" borderId="5" xfId="1" applyFont="1" applyFill="1" applyBorder="1" applyAlignment="1">
      <alignment horizontal="center" vertical="center" wrapText="1" shrinkToFit="1"/>
    </xf>
    <xf numFmtId="43" fontId="8" fillId="0" borderId="0" xfId="1" applyFont="1" applyAlignment="1">
      <alignment vertical="center"/>
    </xf>
    <xf numFmtId="164" fontId="0" fillId="0" borderId="0" xfId="0" applyNumberFormat="1" applyAlignment="1">
      <alignment horizontal="left" vertical="top"/>
    </xf>
    <xf numFmtId="0" fontId="28" fillId="0" borderId="0" xfId="0" applyFont="1" applyAlignment="1">
      <alignment horizontal="left" vertical="top"/>
    </xf>
    <xf numFmtId="0" fontId="38" fillId="0" borderId="1" xfId="0" applyFont="1" applyBorder="1" applyAlignment="1">
      <alignment horizontal="center"/>
    </xf>
    <xf numFmtId="43" fontId="28" fillId="0" borderId="1" xfId="1" applyFont="1" applyFill="1" applyBorder="1"/>
    <xf numFmtId="0" fontId="28" fillId="0" borderId="1" xfId="0" applyFont="1" applyBorder="1"/>
    <xf numFmtId="0" fontId="28" fillId="0" borderId="0" xfId="0" applyFont="1"/>
    <xf numFmtId="0" fontId="28" fillId="0" borderId="0" xfId="0" applyFont="1" applyAlignment="1">
      <alignment horizontal="center"/>
    </xf>
    <xf numFmtId="43" fontId="36" fillId="0" borderId="5" xfId="1" applyFont="1" applyFill="1" applyBorder="1" applyAlignment="1">
      <alignment vertical="center" shrinkToFit="1"/>
    </xf>
    <xf numFmtId="43" fontId="10" fillId="0" borderId="5" xfId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top" wrapText="1"/>
    </xf>
    <xf numFmtId="0" fontId="20" fillId="0" borderId="5" xfId="1" applyNumberFormat="1" applyFont="1" applyFill="1" applyBorder="1" applyAlignment="1">
      <alignment horizontal="center"/>
    </xf>
    <xf numFmtId="0" fontId="20" fillId="0" borderId="5" xfId="0" applyFont="1" applyBorder="1"/>
    <xf numFmtId="43" fontId="20" fillId="0" borderId="5" xfId="1" applyFont="1" applyFill="1" applyBorder="1" applyAlignment="1">
      <alignment horizontal="right"/>
    </xf>
    <xf numFmtId="0" fontId="20" fillId="0" borderId="0" xfId="0" applyFont="1" applyAlignment="1">
      <alignment horizontal="center"/>
    </xf>
    <xf numFmtId="43" fontId="20" fillId="0" borderId="16" xfId="0" applyNumberFormat="1" applyFont="1" applyBorder="1" applyAlignment="1">
      <alignment horizontal="right"/>
    </xf>
    <xf numFmtId="167" fontId="43" fillId="0" borderId="0" xfId="0" applyNumberFormat="1" applyFont="1"/>
    <xf numFmtId="0" fontId="38" fillId="0" borderId="2" xfId="0" applyFont="1" applyBorder="1" applyAlignment="1">
      <alignment horizontal="center"/>
    </xf>
    <xf numFmtId="14" fontId="28" fillId="0" borderId="0" xfId="0" applyNumberFormat="1" applyFont="1"/>
    <xf numFmtId="14" fontId="28" fillId="0" borderId="0" xfId="0" applyNumberFormat="1" applyFont="1" applyAlignment="1">
      <alignment horizontal="center"/>
    </xf>
    <xf numFmtId="43" fontId="28" fillId="0" borderId="0" xfId="1" applyFont="1" applyFill="1" applyBorder="1"/>
    <xf numFmtId="14" fontId="28" fillId="0" borderId="0" xfId="0" applyNumberFormat="1" applyFont="1" applyAlignment="1">
      <alignment horizontal="right"/>
    </xf>
    <xf numFmtId="0" fontId="28" fillId="0" borderId="0" xfId="0" applyFont="1" applyAlignment="1">
      <alignment horizontal="center" vertical="center"/>
    </xf>
    <xf numFmtId="166" fontId="43" fillId="0" borderId="34" xfId="0" applyNumberFormat="1" applyFont="1" applyBorder="1" applyAlignment="1">
      <alignment vertical="center"/>
    </xf>
    <xf numFmtId="165" fontId="28" fillId="0" borderId="0" xfId="1" applyNumberFormat="1" applyFont="1" applyFill="1" applyBorder="1" applyAlignment="1">
      <alignment horizontal="center"/>
    </xf>
    <xf numFmtId="14" fontId="28" fillId="0" borderId="5" xfId="0" applyNumberFormat="1" applyFont="1" applyBorder="1"/>
    <xf numFmtId="0" fontId="28" fillId="0" borderId="5" xfId="0" applyFont="1" applyBorder="1"/>
    <xf numFmtId="43" fontId="28" fillId="0" borderId="5" xfId="1" applyFont="1" applyFill="1" applyBorder="1"/>
    <xf numFmtId="14" fontId="28" fillId="0" borderId="5" xfId="0" applyNumberFormat="1" applyFont="1" applyBorder="1" applyAlignment="1">
      <alignment horizontal="center"/>
    </xf>
    <xf numFmtId="0" fontId="28" fillId="0" borderId="18" xfId="0" applyFont="1" applyBorder="1"/>
    <xf numFmtId="14" fontId="28" fillId="0" borderId="20" xfId="0" applyNumberFormat="1" applyFont="1" applyBorder="1"/>
    <xf numFmtId="0" fontId="27" fillId="7" borderId="5" xfId="0" applyFont="1" applyFill="1" applyBorder="1" applyAlignment="1">
      <alignment horizontal="right"/>
    </xf>
    <xf numFmtId="43" fontId="27" fillId="7" borderId="5" xfId="1" applyFont="1" applyFill="1" applyBorder="1"/>
    <xf numFmtId="14" fontId="28" fillId="0" borderId="1" xfId="0" applyNumberFormat="1" applyFont="1" applyBorder="1"/>
    <xf numFmtId="43" fontId="28" fillId="0" borderId="7" xfId="1" applyFont="1" applyFill="1" applyBorder="1"/>
    <xf numFmtId="43" fontId="0" fillId="0" borderId="5" xfId="1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3" fontId="25" fillId="0" borderId="5" xfId="1" applyFont="1" applyFill="1" applyBorder="1" applyAlignment="1">
      <alignment horizontal="center" vertical="center"/>
    </xf>
    <xf numFmtId="0" fontId="0" fillId="0" borderId="5" xfId="1" applyNumberFormat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43" fontId="28" fillId="0" borderId="1" xfId="1" applyFont="1" applyFill="1" applyBorder="1" applyAlignment="1">
      <alignment vertical="center"/>
    </xf>
    <xf numFmtId="43" fontId="41" fillId="0" borderId="13" xfId="1" applyFont="1" applyFill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165" fontId="28" fillId="0" borderId="0" xfId="1" applyNumberFormat="1" applyFont="1" applyFill="1" applyBorder="1" applyAlignment="1">
      <alignment horizontal="center" vertical="center"/>
    </xf>
    <xf numFmtId="167" fontId="29" fillId="6" borderId="5" xfId="0" applyNumberFormat="1" applyFont="1" applyFill="1" applyBorder="1"/>
    <xf numFmtId="43" fontId="29" fillId="6" borderId="14" xfId="0" applyNumberFormat="1" applyFont="1" applyFill="1" applyBorder="1" applyAlignment="1">
      <alignment horizontal="center" vertical="center"/>
    </xf>
    <xf numFmtId="166" fontId="29" fillId="6" borderId="4" xfId="0" applyNumberFormat="1" applyFont="1" applyFill="1" applyBorder="1" applyAlignment="1">
      <alignment vertical="center"/>
    </xf>
    <xf numFmtId="0" fontId="28" fillId="0" borderId="2" xfId="0" applyFont="1" applyBorder="1"/>
    <xf numFmtId="43" fontId="5" fillId="0" borderId="10" xfId="1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14" fontId="0" fillId="0" borderId="5" xfId="1" applyNumberFormat="1" applyFont="1" applyFill="1" applyBorder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0" fillId="0" borderId="5" xfId="1" applyNumberFormat="1" applyFont="1" applyFill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textRotation="90" wrapText="1"/>
    </xf>
    <xf numFmtId="43" fontId="18" fillId="0" borderId="5" xfId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45" fillId="0" borderId="5" xfId="0" applyFont="1" applyBorder="1" applyAlignment="1">
      <alignment horizontal="left" vertical="top"/>
    </xf>
    <xf numFmtId="43" fontId="0" fillId="0" borderId="0" xfId="1" applyFont="1" applyFill="1" applyBorder="1" applyAlignment="1">
      <alignment horizontal="center" vertical="center"/>
    </xf>
    <xf numFmtId="0" fontId="49" fillId="4" borderId="28" xfId="0" applyFont="1" applyFill="1" applyBorder="1" applyAlignment="1">
      <alignment horizontal="center" vertical="center" wrapText="1"/>
    </xf>
    <xf numFmtId="43" fontId="49" fillId="4" borderId="28" xfId="1" applyFont="1" applyFill="1" applyBorder="1" applyAlignment="1">
      <alignment horizontal="center" vertical="center" wrapText="1"/>
    </xf>
    <xf numFmtId="43" fontId="49" fillId="4" borderId="32" xfId="1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/>
    </xf>
    <xf numFmtId="43" fontId="9" fillId="0" borderId="5" xfId="1" applyFont="1" applyFill="1" applyBorder="1" applyAlignment="1">
      <alignment horizontal="center" vertical="center" wrapText="1" shrinkToFit="1"/>
    </xf>
    <xf numFmtId="43" fontId="49" fillId="0" borderId="5" xfId="1" applyFont="1" applyFill="1" applyBorder="1" applyAlignment="1">
      <alignment horizontal="center" vertical="center" wrapText="1" shrinkToFit="1"/>
    </xf>
    <xf numFmtId="0" fontId="9" fillId="0" borderId="5" xfId="1" applyNumberFormat="1" applyFont="1" applyFill="1" applyBorder="1" applyAlignment="1">
      <alignment horizontal="center" vertical="center" shrinkToFit="1"/>
    </xf>
    <xf numFmtId="14" fontId="9" fillId="0" borderId="5" xfId="1" applyNumberFormat="1" applyFont="1" applyFill="1" applyBorder="1" applyAlignment="1">
      <alignment horizontal="center" vertical="center" shrinkToFit="1"/>
    </xf>
    <xf numFmtId="43" fontId="9" fillId="0" borderId="5" xfId="1" applyFont="1" applyFill="1" applyBorder="1" applyAlignment="1">
      <alignment horizontal="center" vertical="center" shrinkToFit="1"/>
    </xf>
    <xf numFmtId="43" fontId="49" fillId="0" borderId="5" xfId="1" applyFont="1" applyFill="1" applyBorder="1" applyAlignment="1">
      <alignment horizontal="center" vertical="center" shrinkToFit="1"/>
    </xf>
    <xf numFmtId="43" fontId="49" fillId="0" borderId="5" xfId="1" applyFont="1" applyFill="1" applyBorder="1" applyAlignment="1">
      <alignment horizontal="center" vertical="center"/>
    </xf>
    <xf numFmtId="43" fontId="9" fillId="0" borderId="5" xfId="1" applyFont="1" applyFill="1" applyBorder="1" applyAlignment="1">
      <alignment horizontal="center" vertical="center"/>
    </xf>
    <xf numFmtId="43" fontId="50" fillId="0" borderId="5" xfId="1" applyFont="1" applyFill="1" applyBorder="1" applyAlignment="1">
      <alignment horizontal="center" vertical="center" shrinkToFit="1"/>
    </xf>
    <xf numFmtId="0" fontId="45" fillId="0" borderId="5" xfId="0" applyFont="1" applyBorder="1" applyAlignment="1">
      <alignment horizontal="center" vertical="center"/>
    </xf>
    <xf numFmtId="43" fontId="51" fillId="0" borderId="5" xfId="1" applyFont="1" applyFill="1" applyBorder="1" applyAlignment="1">
      <alignment horizontal="center" vertical="center"/>
    </xf>
    <xf numFmtId="43" fontId="24" fillId="0" borderId="5" xfId="1" applyFont="1" applyFill="1" applyBorder="1" applyAlignment="1">
      <alignment horizontal="center" vertical="center"/>
    </xf>
    <xf numFmtId="14" fontId="24" fillId="0" borderId="5" xfId="1" applyNumberFormat="1" applyFont="1" applyFill="1" applyBorder="1" applyAlignment="1">
      <alignment horizontal="center" vertical="center"/>
    </xf>
    <xf numFmtId="43" fontId="36" fillId="0" borderId="5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90" wrapText="1"/>
    </xf>
    <xf numFmtId="14" fontId="2" fillId="0" borderId="5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textRotation="90" wrapText="1"/>
    </xf>
    <xf numFmtId="14" fontId="2" fillId="0" borderId="0" xfId="1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43" fontId="0" fillId="0" borderId="5" xfId="1" applyFont="1" applyFill="1" applyBorder="1" applyAlignment="1"/>
    <xf numFmtId="43" fontId="37" fillId="0" borderId="5" xfId="1" applyFont="1" applyFill="1" applyBorder="1" applyAlignment="1">
      <alignment horizontal="center" vertical="center" wrapText="1" shrinkToFit="1"/>
    </xf>
    <xf numFmtId="14" fontId="37" fillId="0" borderId="5" xfId="1" applyNumberFormat="1" applyFont="1" applyFill="1" applyBorder="1" applyAlignment="1">
      <alignment horizontal="center" vertical="center" wrapText="1" shrinkToFit="1"/>
    </xf>
    <xf numFmtId="0" fontId="53" fillId="0" borderId="5" xfId="1" applyNumberFormat="1" applyFont="1" applyFill="1" applyBorder="1" applyAlignment="1">
      <alignment horizontal="center" vertical="center" wrapText="1" shrinkToFit="1"/>
    </xf>
    <xf numFmtId="43" fontId="53" fillId="0" borderId="5" xfId="1" applyFont="1" applyFill="1" applyBorder="1" applyAlignment="1">
      <alignment horizontal="center" vertical="center" wrapText="1" shrinkToFit="1"/>
    </xf>
    <xf numFmtId="14" fontId="37" fillId="0" borderId="5" xfId="1" applyNumberFormat="1" applyFont="1" applyFill="1" applyBorder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wrapText="1"/>
    </xf>
    <xf numFmtId="43" fontId="16" fillId="0" borderId="11" xfId="1" applyFont="1" applyFill="1" applyBorder="1" applyAlignment="1">
      <alignment horizontal="center" vertical="center" shrinkToFit="1"/>
    </xf>
    <xf numFmtId="14" fontId="18" fillId="0" borderId="5" xfId="0" applyNumberFormat="1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0" fontId="18" fillId="0" borderId="21" xfId="1" applyNumberFormat="1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0" fontId="5" fillId="0" borderId="18" xfId="1" applyNumberFormat="1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>
      <alignment horizontal="center" vertical="center"/>
    </xf>
    <xf numFmtId="0" fontId="5" fillId="0" borderId="10" xfId="1" applyNumberFormat="1" applyFont="1" applyFill="1" applyBorder="1" applyAlignment="1">
      <alignment horizontal="center" vertical="center"/>
    </xf>
    <xf numFmtId="14" fontId="5" fillId="0" borderId="10" xfId="1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25" fillId="6" borderId="5" xfId="0" applyFont="1" applyFill="1" applyBorder="1" applyAlignment="1">
      <alignment horizontal="left" vertical="top"/>
    </xf>
    <xf numFmtId="0" fontId="46" fillId="6" borderId="10" xfId="0" applyFont="1" applyFill="1" applyBorder="1" applyAlignment="1">
      <alignment horizontal="center" vertical="center" wrapText="1"/>
    </xf>
    <xf numFmtId="0" fontId="53" fillId="6" borderId="10" xfId="0" applyFont="1" applyFill="1" applyBorder="1" applyAlignment="1">
      <alignment horizontal="center" vertical="center" wrapText="1"/>
    </xf>
    <xf numFmtId="2" fontId="53" fillId="6" borderId="10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43" fontId="0" fillId="0" borderId="5" xfId="1" applyFont="1" applyFill="1" applyBorder="1" applyAlignment="1">
      <alignment horizontal="right"/>
    </xf>
    <xf numFmtId="43" fontId="7" fillId="0" borderId="5" xfId="1" applyFont="1" applyFill="1" applyBorder="1" applyAlignment="1">
      <alignment horizontal="left" vertical="center"/>
    </xf>
    <xf numFmtId="43" fontId="22" fillId="0" borderId="5" xfId="1" applyFont="1" applyFill="1" applyBorder="1"/>
    <xf numFmtId="0" fontId="7" fillId="0" borderId="5" xfId="0" applyFont="1" applyBorder="1" applyAlignment="1">
      <alignment horizontal="left" vertical="center"/>
    </xf>
    <xf numFmtId="0" fontId="2" fillId="0" borderId="5" xfId="0" applyFont="1" applyBorder="1"/>
    <xf numFmtId="164" fontId="7" fillId="0" borderId="5" xfId="0" applyNumberFormat="1" applyFont="1" applyBorder="1"/>
    <xf numFmtId="14" fontId="32" fillId="0" borderId="10" xfId="0" applyNumberFormat="1" applyFont="1" applyBorder="1" applyAlignment="1">
      <alignment wrapText="1"/>
    </xf>
    <xf numFmtId="43" fontId="24" fillId="0" borderId="0" xfId="0" applyNumberFormat="1" applyFont="1"/>
    <xf numFmtId="14" fontId="5" fillId="0" borderId="5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2" fillId="0" borderId="3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5" fillId="0" borderId="5" xfId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textRotation="90"/>
    </xf>
    <xf numFmtId="0" fontId="28" fillId="8" borderId="1" xfId="0" applyFont="1" applyFill="1" applyBorder="1"/>
    <xf numFmtId="43" fontId="28" fillId="8" borderId="1" xfId="1" applyFont="1" applyFill="1" applyBorder="1"/>
    <xf numFmtId="14" fontId="28" fillId="0" borderId="5" xfId="0" applyNumberFormat="1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43" fontId="28" fillId="0" borderId="0" xfId="1" applyFont="1" applyFill="1" applyBorder="1" applyAlignment="1">
      <alignment vertical="center"/>
    </xf>
    <xf numFmtId="43" fontId="41" fillId="0" borderId="0" xfId="1" applyFont="1" applyFill="1" applyBorder="1" applyAlignment="1">
      <alignment vertical="center"/>
    </xf>
    <xf numFmtId="0" fontId="28" fillId="0" borderId="0" xfId="0" applyFont="1" applyAlignment="1">
      <alignment vertical="center"/>
    </xf>
    <xf numFmtId="43" fontId="28" fillId="0" borderId="5" xfId="1" applyFont="1" applyFill="1" applyBorder="1" applyAlignment="1">
      <alignment horizontal="center" vertical="center"/>
    </xf>
    <xf numFmtId="43" fontId="27" fillId="7" borderId="5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16" fillId="0" borderId="10" xfId="1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top"/>
    </xf>
    <xf numFmtId="14" fontId="0" fillId="0" borderId="5" xfId="1" applyNumberFormat="1" applyFont="1" applyBorder="1" applyAlignment="1">
      <alignment horizontal="left" vertical="top"/>
    </xf>
    <xf numFmtId="43" fontId="28" fillId="0" borderId="5" xfId="1" applyFont="1" applyBorder="1" applyAlignment="1">
      <alignment vertical="center"/>
    </xf>
    <xf numFmtId="0" fontId="47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164" fontId="5" fillId="0" borderId="0" xfId="0" applyNumberFormat="1" applyFont="1" applyAlignment="1">
      <alignment horizontal="left" vertical="top"/>
    </xf>
    <xf numFmtId="43" fontId="5" fillId="0" borderId="5" xfId="1" applyFont="1" applyFill="1" applyBorder="1" applyAlignment="1">
      <alignment horizontal="center" vertical="center" wrapText="1"/>
    </xf>
    <xf numFmtId="43" fontId="10" fillId="0" borderId="5" xfId="1" applyFont="1" applyFill="1" applyBorder="1" applyAlignment="1">
      <alignment horizontal="center" wrapText="1"/>
    </xf>
    <xf numFmtId="43" fontId="5" fillId="0" borderId="5" xfId="1" applyFont="1" applyFill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43" fontId="14" fillId="0" borderId="5" xfId="1" applyFont="1" applyFill="1" applyBorder="1" applyAlignment="1">
      <alignment horizontal="center" vertical="center" wrapText="1"/>
    </xf>
    <xf numFmtId="14" fontId="10" fillId="0" borderId="5" xfId="1" applyNumberFormat="1" applyFont="1" applyBorder="1" applyAlignment="1">
      <alignment horizontal="center" vertical="center"/>
    </xf>
    <xf numFmtId="14" fontId="0" fillId="0" borderId="5" xfId="1" applyNumberFormat="1" applyFont="1" applyFill="1" applyBorder="1" applyAlignment="1">
      <alignment horizontal="center" vertical="top"/>
    </xf>
    <xf numFmtId="14" fontId="0" fillId="0" borderId="5" xfId="1" applyNumberFormat="1" applyFont="1" applyFill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14" fontId="0" fillId="0" borderId="0" xfId="1" applyNumberFormat="1" applyFont="1" applyAlignment="1">
      <alignment horizontal="left" vertical="top"/>
    </xf>
    <xf numFmtId="14" fontId="2" fillId="0" borderId="5" xfId="1" applyNumberFormat="1" applyFont="1" applyBorder="1" applyAlignment="1">
      <alignment horizontal="center" vertical="center" wrapText="1"/>
    </xf>
    <xf numFmtId="14" fontId="10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/>
    <xf numFmtId="43" fontId="16" fillId="4" borderId="10" xfId="1" applyFont="1" applyFill="1" applyBorder="1" applyAlignment="1">
      <alignment horizontal="center" vertical="center" shrinkToFit="1"/>
    </xf>
    <xf numFmtId="43" fontId="5" fillId="4" borderId="10" xfId="1" applyFont="1" applyFill="1" applyBorder="1" applyAlignment="1">
      <alignment horizontal="center" vertical="center"/>
    </xf>
    <xf numFmtId="43" fontId="16" fillId="4" borderId="5" xfId="1" applyFont="1" applyFill="1" applyBorder="1" applyAlignment="1">
      <alignment horizontal="center" vertical="center" shrinkToFit="1"/>
    </xf>
    <xf numFmtId="0" fontId="2" fillId="2" borderId="0" xfId="0" applyFont="1" applyFill="1" applyAlignment="1">
      <alignment horizontal="left" vertical="top"/>
    </xf>
    <xf numFmtId="14" fontId="28" fillId="0" borderId="5" xfId="0" applyNumberFormat="1" applyFont="1" applyBorder="1" applyAlignment="1">
      <alignment horizontal="right" vertical="center"/>
    </xf>
    <xf numFmtId="14" fontId="28" fillId="2" borderId="5" xfId="0" applyNumberFormat="1" applyFont="1" applyFill="1" applyBorder="1" applyAlignment="1">
      <alignment horizontal="center"/>
    </xf>
    <xf numFmtId="165" fontId="28" fillId="2" borderId="5" xfId="1" applyNumberFormat="1" applyFont="1" applyFill="1" applyBorder="1" applyAlignment="1">
      <alignment horizontal="center" vertical="center"/>
    </xf>
    <xf numFmtId="43" fontId="41" fillId="2" borderId="5" xfId="1" applyFont="1" applyFill="1" applyBorder="1" applyAlignment="1">
      <alignment vertical="center"/>
    </xf>
    <xf numFmtId="14" fontId="28" fillId="2" borderId="5" xfId="0" applyNumberFormat="1" applyFont="1" applyFill="1" applyBorder="1" applyAlignment="1">
      <alignment horizontal="right"/>
    </xf>
    <xf numFmtId="165" fontId="28" fillId="2" borderId="5" xfId="1" applyNumberFormat="1" applyFont="1" applyFill="1" applyBorder="1" applyAlignment="1">
      <alignment horizontal="right"/>
    </xf>
    <xf numFmtId="4" fontId="28" fillId="2" borderId="20" xfId="0" applyNumberFormat="1" applyFont="1" applyFill="1" applyBorder="1" applyAlignment="1">
      <alignment horizontal="right"/>
    </xf>
    <xf numFmtId="43" fontId="28" fillId="2" borderId="13" xfId="1" applyFont="1" applyFill="1" applyBorder="1" applyAlignment="1">
      <alignment vertical="center"/>
    </xf>
    <xf numFmtId="43" fontId="28" fillId="2" borderId="14" xfId="1" applyFont="1" applyFill="1" applyBorder="1" applyAlignment="1">
      <alignment vertical="center"/>
    </xf>
    <xf numFmtId="14" fontId="28" fillId="2" borderId="10" xfId="0" applyNumberFormat="1" applyFont="1" applyFill="1" applyBorder="1" applyAlignment="1">
      <alignment horizontal="center"/>
    </xf>
    <xf numFmtId="165" fontId="28" fillId="2" borderId="10" xfId="1" applyNumberFormat="1" applyFont="1" applyFill="1" applyBorder="1" applyAlignment="1">
      <alignment horizontal="center" vertical="center"/>
    </xf>
    <xf numFmtId="43" fontId="41" fillId="2" borderId="3" xfId="1" applyFont="1" applyFill="1" applyBorder="1" applyAlignment="1">
      <alignment vertical="center"/>
    </xf>
    <xf numFmtId="14" fontId="28" fillId="2" borderId="1" xfId="0" applyNumberFormat="1" applyFont="1" applyFill="1" applyBorder="1"/>
    <xf numFmtId="0" fontId="28" fillId="2" borderId="1" xfId="0" applyFont="1" applyFill="1" applyBorder="1" applyAlignment="1">
      <alignment horizontal="center" vertical="center"/>
    </xf>
    <xf numFmtId="43" fontId="28" fillId="2" borderId="1" xfId="1" applyFont="1" applyFill="1" applyBorder="1" applyAlignment="1">
      <alignment vertical="center"/>
    </xf>
    <xf numFmtId="43" fontId="28" fillId="2" borderId="3" xfId="1" applyFont="1" applyFill="1" applyBorder="1" applyAlignment="1">
      <alignment vertical="center"/>
    </xf>
    <xf numFmtId="14" fontId="28" fillId="2" borderId="1" xfId="0" applyNumberFormat="1" applyFont="1" applyFill="1" applyBorder="1" applyAlignment="1">
      <alignment horizontal="right"/>
    </xf>
    <xf numFmtId="14" fontId="28" fillId="2" borderId="1" xfId="0" applyNumberFormat="1" applyFont="1" applyFill="1" applyBorder="1" applyAlignment="1">
      <alignment horizontal="center" vertical="center"/>
    </xf>
    <xf numFmtId="14" fontId="0" fillId="2" borderId="5" xfId="1" applyNumberFormat="1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left" vertical="top"/>
    </xf>
    <xf numFmtId="43" fontId="0" fillId="2" borderId="5" xfId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4" fontId="0" fillId="2" borderId="5" xfId="0" applyNumberFormat="1" applyFill="1" applyBorder="1" applyAlignment="1">
      <alignment horizontal="center" vertical="center"/>
    </xf>
    <xf numFmtId="43" fontId="0" fillId="0" borderId="5" xfId="1" applyFont="1" applyBorder="1" applyAlignment="1">
      <alignment vertical="center"/>
    </xf>
    <xf numFmtId="0" fontId="0" fillId="0" borderId="5" xfId="0" applyBorder="1" applyAlignment="1">
      <alignment vertical="center"/>
    </xf>
    <xf numFmtId="0" fontId="3" fillId="4" borderId="27" xfId="0" applyFont="1" applyFill="1" applyBorder="1" applyAlignment="1">
      <alignment horizontal="center" vertical="center" wrapText="1"/>
    </xf>
    <xf numFmtId="43" fontId="14" fillId="0" borderId="20" xfId="1" applyFont="1" applyBorder="1" applyAlignment="1">
      <alignment horizontal="center" vertical="center"/>
    </xf>
    <xf numFmtId="0" fontId="2" fillId="2" borderId="15" xfId="0" applyFont="1" applyFill="1" applyBorder="1" applyAlignment="1">
      <alignment horizontal="left" vertical="top"/>
    </xf>
    <xf numFmtId="14" fontId="0" fillId="0" borderId="0" xfId="1" applyNumberFormat="1" applyFont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 wrapText="1"/>
    </xf>
    <xf numFmtId="164" fontId="0" fillId="0" borderId="31" xfId="0" applyNumberFormat="1" applyBorder="1" applyAlignment="1">
      <alignment horizontal="left" vertical="top"/>
    </xf>
    <xf numFmtId="164" fontId="2" fillId="4" borderId="31" xfId="0" applyNumberFormat="1" applyFont="1" applyFill="1" applyBorder="1" applyAlignment="1">
      <alignment horizontal="left" vertical="top"/>
    </xf>
    <xf numFmtId="0" fontId="5" fillId="6" borderId="5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42" fillId="6" borderId="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/>
    </xf>
    <xf numFmtId="14" fontId="28" fillId="0" borderId="1" xfId="0" applyNumberFormat="1" applyFont="1" applyBorder="1" applyAlignment="1">
      <alignment horizontal="center"/>
    </xf>
    <xf numFmtId="14" fontId="28" fillId="0" borderId="2" xfId="0" applyNumberFormat="1" applyFont="1" applyBorder="1" applyAlignment="1">
      <alignment horizontal="center"/>
    </xf>
    <xf numFmtId="0" fontId="42" fillId="0" borderId="34" xfId="0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43" fontId="28" fillId="0" borderId="10" xfId="1" applyFont="1" applyBorder="1" applyAlignment="1">
      <alignment horizontal="center" vertical="center"/>
    </xf>
    <xf numFmtId="43" fontId="28" fillId="0" borderId="8" xfId="1" applyFont="1" applyBorder="1" applyAlignment="1">
      <alignment horizontal="center" vertical="center"/>
    </xf>
    <xf numFmtId="43" fontId="28" fillId="0" borderId="9" xfId="1" applyFont="1" applyBorder="1" applyAlignment="1">
      <alignment horizontal="center" vertical="center"/>
    </xf>
    <xf numFmtId="43" fontId="8" fillId="0" borderId="0" xfId="1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3" fontId="16" fillId="0" borderId="10" xfId="1" applyFont="1" applyFill="1" applyBorder="1" applyAlignment="1">
      <alignment horizontal="center" vertical="center" shrinkToFit="1"/>
    </xf>
    <xf numFmtId="43" fontId="16" fillId="0" borderId="9" xfId="1" applyFont="1" applyFill="1" applyBorder="1" applyAlignment="1">
      <alignment horizontal="center" vertical="center" shrinkToFit="1"/>
    </xf>
    <xf numFmtId="14" fontId="18" fillId="0" borderId="10" xfId="0" applyNumberFormat="1" applyFont="1" applyBorder="1" applyAlignment="1">
      <alignment horizontal="center" vertical="center"/>
    </xf>
    <xf numFmtId="14" fontId="18" fillId="0" borderId="9" xfId="0" applyNumberFormat="1" applyFont="1" applyBorder="1" applyAlignment="1">
      <alignment horizontal="center" vertical="center"/>
    </xf>
    <xf numFmtId="43" fontId="16" fillId="4" borderId="5" xfId="1" applyFont="1" applyFill="1" applyBorder="1" applyAlignment="1">
      <alignment horizontal="center" vertical="center" shrinkToFit="1"/>
    </xf>
    <xf numFmtId="14" fontId="5" fillId="0" borderId="10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5" fillId="0" borderId="21" xfId="1" applyNumberFormat="1" applyFont="1" applyFill="1" applyBorder="1" applyAlignment="1">
      <alignment horizontal="center" vertical="center"/>
    </xf>
    <xf numFmtId="0" fontId="5" fillId="0" borderId="22" xfId="1" applyNumberFormat="1" applyFont="1" applyFill="1" applyBorder="1" applyAlignment="1">
      <alignment horizontal="center" vertical="center"/>
    </xf>
    <xf numFmtId="43" fontId="18" fillId="0" borderId="10" xfId="1" applyFont="1" applyFill="1" applyBorder="1" applyAlignment="1">
      <alignment horizontal="center" vertical="center"/>
    </xf>
    <xf numFmtId="43" fontId="18" fillId="0" borderId="9" xfId="1" applyFont="1" applyFill="1" applyBorder="1" applyAlignment="1">
      <alignment horizontal="center" vertical="center"/>
    </xf>
    <xf numFmtId="43" fontId="18" fillId="0" borderId="8" xfId="1" applyFont="1" applyFill="1" applyBorder="1" applyAlignment="1">
      <alignment horizontal="center" vertical="center"/>
    </xf>
    <xf numFmtId="43" fontId="46" fillId="0" borderId="10" xfId="1" applyFont="1" applyFill="1" applyBorder="1" applyAlignment="1">
      <alignment horizontal="center" vertical="center"/>
    </xf>
    <xf numFmtId="43" fontId="46" fillId="0" borderId="8" xfId="1" applyFont="1" applyFill="1" applyBorder="1" applyAlignment="1">
      <alignment horizontal="center" vertical="center"/>
    </xf>
    <xf numFmtId="43" fontId="46" fillId="0" borderId="9" xfId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43" fontId="5" fillId="0" borderId="10" xfId="1" applyFont="1" applyFill="1" applyBorder="1" applyAlignment="1">
      <alignment horizontal="center" vertical="center"/>
    </xf>
    <xf numFmtId="43" fontId="5" fillId="0" borderId="9" xfId="1" applyFont="1" applyFill="1" applyBorder="1" applyAlignment="1">
      <alignment horizontal="center" vertical="center"/>
    </xf>
    <xf numFmtId="43" fontId="16" fillId="0" borderId="8" xfId="1" applyFont="1" applyFill="1" applyBorder="1" applyAlignment="1">
      <alignment horizontal="center" vertical="center" shrinkToFit="1"/>
    </xf>
    <xf numFmtId="4" fontId="3" fillId="0" borderId="10" xfId="0" applyNumberFormat="1" applyFont="1" applyBorder="1" applyAlignment="1">
      <alignment horizontal="center" vertical="center" shrinkToFit="1"/>
    </xf>
    <xf numFmtId="4" fontId="3" fillId="0" borderId="8" xfId="0" applyNumberFormat="1" applyFont="1" applyBorder="1" applyAlignment="1">
      <alignment horizontal="center" vertical="center" shrinkToFit="1"/>
    </xf>
    <xf numFmtId="4" fontId="3" fillId="0" borderId="9" xfId="0" applyNumberFormat="1" applyFont="1" applyBorder="1" applyAlignment="1">
      <alignment horizontal="center" vertical="center" shrinkToFit="1"/>
    </xf>
    <xf numFmtId="43" fontId="5" fillId="0" borderId="8" xfId="1" applyFont="1" applyFill="1" applyBorder="1" applyAlignment="1">
      <alignment horizontal="center" vertical="center"/>
    </xf>
    <xf numFmtId="14" fontId="5" fillId="0" borderId="5" xfId="1" applyNumberFormat="1" applyFont="1" applyFill="1" applyBorder="1" applyAlignment="1">
      <alignment horizontal="center" vertical="center"/>
    </xf>
    <xf numFmtId="43" fontId="5" fillId="0" borderId="5" xfId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3" fontId="25" fillId="0" borderId="5" xfId="1" applyFont="1" applyFill="1" applyBorder="1" applyAlignment="1">
      <alignment horizontal="center" vertical="center"/>
    </xf>
    <xf numFmtId="43" fontId="46" fillId="0" borderId="5" xfId="1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 textRotation="90" wrapText="1"/>
    </xf>
    <xf numFmtId="0" fontId="25" fillId="6" borderId="15" xfId="0" applyFont="1" applyFill="1" applyBorder="1" applyAlignment="1">
      <alignment horizontal="center" vertical="center" textRotation="90" wrapText="1"/>
    </xf>
    <xf numFmtId="43" fontId="15" fillId="0" borderId="5" xfId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3" fontId="14" fillId="0" borderId="10" xfId="1" applyFont="1" applyFill="1" applyBorder="1" applyAlignment="1">
      <alignment horizontal="center" vertical="center"/>
    </xf>
    <xf numFmtId="43" fontId="14" fillId="0" borderId="8" xfId="1" applyFont="1" applyFill="1" applyBorder="1" applyAlignment="1">
      <alignment horizontal="center" vertical="center"/>
    </xf>
    <xf numFmtId="43" fontId="14" fillId="0" borderId="9" xfId="1" applyFont="1" applyFill="1" applyBorder="1" applyAlignment="1">
      <alignment horizontal="center" vertical="center"/>
    </xf>
    <xf numFmtId="43" fontId="13" fillId="0" borderId="10" xfId="1" applyFont="1" applyFill="1" applyBorder="1" applyAlignment="1">
      <alignment horizontal="center" vertical="center"/>
    </xf>
    <xf numFmtId="43" fontId="13" fillId="0" borderId="8" xfId="1" applyFont="1" applyFill="1" applyBorder="1" applyAlignment="1">
      <alignment horizontal="center" vertical="center"/>
    </xf>
    <xf numFmtId="43" fontId="13" fillId="0" borderId="9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left" vertical="top"/>
    </xf>
    <xf numFmtId="43" fontId="14" fillId="0" borderId="5" xfId="1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vertical="center" shrinkToFit="1"/>
    </xf>
    <xf numFmtId="14" fontId="14" fillId="0" borderId="5" xfId="0" applyNumberFormat="1" applyFont="1" applyBorder="1" applyAlignment="1">
      <alignment vertical="center"/>
    </xf>
    <xf numFmtId="43" fontId="3" fillId="0" borderId="5" xfId="1" applyFont="1" applyFill="1" applyBorder="1" applyAlignment="1">
      <alignment vertical="center" shrinkToFit="1"/>
    </xf>
    <xf numFmtId="43" fontId="14" fillId="0" borderId="5" xfId="1" applyFont="1" applyFill="1" applyBorder="1" applyAlignment="1">
      <alignment vertical="center"/>
    </xf>
    <xf numFmtId="14" fontId="0" fillId="0" borderId="5" xfId="0" applyNumberForma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43" fontId="5" fillId="0" borderId="16" xfId="1" applyFont="1" applyFill="1" applyBorder="1" applyAlignment="1">
      <alignment horizontal="center" vertical="center" wrapText="1"/>
    </xf>
    <xf numFmtId="43" fontId="5" fillId="0" borderId="0" xfId="1" applyFont="1" applyFill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43" fontId="3" fillId="0" borderId="10" xfId="1" applyFont="1" applyFill="1" applyBorder="1" applyAlignment="1">
      <alignment horizontal="center" vertical="center" shrinkToFit="1"/>
    </xf>
    <xf numFmtId="43" fontId="3" fillId="0" borderId="9" xfId="1" applyFont="1" applyFill="1" applyBorder="1" applyAlignment="1">
      <alignment horizontal="center" vertical="center" shrinkToFit="1"/>
    </xf>
    <xf numFmtId="14" fontId="14" fillId="0" borderId="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5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 textRotation="90"/>
    </xf>
    <xf numFmtId="43" fontId="14" fillId="0" borderId="5" xfId="1" applyFont="1" applyBorder="1" applyAlignment="1">
      <alignment horizontal="center" vertical="center"/>
    </xf>
    <xf numFmtId="43" fontId="13" fillId="0" borderId="5" xfId="1" applyFont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43" fontId="14" fillId="0" borderId="10" xfId="1" applyFont="1" applyBorder="1" applyAlignment="1">
      <alignment horizontal="center" vertical="center"/>
    </xf>
    <xf numFmtId="43" fontId="14" fillId="0" borderId="8" xfId="1" applyFont="1" applyBorder="1" applyAlignment="1">
      <alignment horizontal="center" vertical="center"/>
    </xf>
    <xf numFmtId="43" fontId="14" fillId="0" borderId="9" xfId="1" applyFont="1" applyBorder="1" applyAlignment="1">
      <alignment horizontal="center" vertical="center"/>
    </xf>
    <xf numFmtId="43" fontId="3" fillId="0" borderId="8" xfId="1" applyFont="1" applyFill="1" applyBorder="1" applyAlignment="1">
      <alignment horizontal="center" vertical="center" shrinkToFit="1"/>
    </xf>
    <xf numFmtId="164" fontId="23" fillId="0" borderId="24" xfId="0" applyNumberFormat="1" applyFont="1" applyBorder="1" applyAlignment="1">
      <alignment horizontal="center"/>
    </xf>
    <xf numFmtId="164" fontId="23" fillId="0" borderId="25" xfId="0" applyNumberFormat="1" applyFont="1" applyBorder="1" applyAlignment="1">
      <alignment horizontal="center"/>
    </xf>
    <xf numFmtId="164" fontId="23" fillId="0" borderId="26" xfId="0" applyNumberFormat="1" applyFont="1" applyBorder="1" applyAlignment="1">
      <alignment horizontal="center"/>
    </xf>
    <xf numFmtId="9" fontId="33" fillId="0" borderId="30" xfId="0" applyNumberFormat="1" applyFont="1" applyBorder="1" applyAlignment="1">
      <alignment horizontal="center"/>
    </xf>
    <xf numFmtId="0" fontId="33" fillId="0" borderId="30" xfId="0" applyFont="1" applyBorder="1" applyAlignment="1">
      <alignment horizontal="center"/>
    </xf>
    <xf numFmtId="0" fontId="40" fillId="0" borderId="0" xfId="0" applyFont="1" applyAlignment="1">
      <alignment horizontal="center" vertical="top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10" fillId="0" borderId="5" xfId="1" applyNumberFormat="1" applyFont="1" applyFill="1" applyBorder="1" applyAlignment="1">
      <alignment horizontal="center" vertical="center" shrinkToFit="1"/>
    </xf>
    <xf numFmtId="164" fontId="10" fillId="0" borderId="5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43" fontId="10" fillId="0" borderId="5" xfId="1" applyFont="1" applyFill="1" applyBorder="1" applyAlignment="1">
      <alignment horizontal="center" vertical="center" shrinkToFit="1"/>
    </xf>
    <xf numFmtId="164" fontId="10" fillId="0" borderId="10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3" fontId="10" fillId="0" borderId="10" xfId="1" applyFont="1" applyFill="1" applyBorder="1" applyAlignment="1">
      <alignment horizontal="center" vertical="center" shrinkToFit="1"/>
    </xf>
    <xf numFmtId="164" fontId="36" fillId="0" borderId="10" xfId="0" applyNumberFormat="1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9" fillId="0" borderId="10" xfId="1" applyNumberFormat="1" applyFont="1" applyFill="1" applyBorder="1" applyAlignment="1">
      <alignment horizontal="center" vertical="center" textRotation="90" shrinkToFit="1"/>
    </xf>
    <xf numFmtId="0" fontId="9" fillId="0" borderId="8" xfId="1" applyNumberFormat="1" applyFont="1" applyFill="1" applyBorder="1" applyAlignment="1">
      <alignment horizontal="center" vertical="center" textRotation="90" shrinkToFit="1"/>
    </xf>
    <xf numFmtId="0" fontId="9" fillId="0" borderId="9" xfId="1" applyNumberFormat="1" applyFont="1" applyFill="1" applyBorder="1" applyAlignment="1">
      <alignment horizontal="center" vertical="center" textRotation="90" shrinkToFit="1"/>
    </xf>
    <xf numFmtId="164" fontId="9" fillId="0" borderId="10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9" fillId="0" borderId="9" xfId="0" applyNumberFormat="1" applyFont="1" applyBorder="1" applyAlignment="1">
      <alignment horizontal="center" vertical="center"/>
    </xf>
    <xf numFmtId="43" fontId="9" fillId="0" borderId="10" xfId="1" applyFont="1" applyFill="1" applyBorder="1" applyAlignment="1">
      <alignment horizontal="center" vertical="center" wrapText="1" shrinkToFit="1"/>
    </xf>
    <xf numFmtId="43" fontId="9" fillId="0" borderId="9" xfId="1" applyFont="1" applyFill="1" applyBorder="1" applyAlignment="1">
      <alignment horizontal="center" vertical="center" wrapText="1" shrinkToFit="1"/>
    </xf>
    <xf numFmtId="43" fontId="9" fillId="0" borderId="8" xfId="1" applyFont="1" applyFill="1" applyBorder="1" applyAlignment="1">
      <alignment horizontal="center" vertical="center" wrapText="1" shrinkToFit="1"/>
    </xf>
    <xf numFmtId="43" fontId="49" fillId="0" borderId="10" xfId="1" applyFont="1" applyFill="1" applyBorder="1" applyAlignment="1">
      <alignment horizontal="center" vertical="center" shrinkToFit="1"/>
    </xf>
    <xf numFmtId="43" fontId="49" fillId="0" borderId="9" xfId="1" applyFont="1" applyFill="1" applyBorder="1" applyAlignment="1">
      <alignment horizontal="center" vertical="center" shrinkToFit="1"/>
    </xf>
    <xf numFmtId="14" fontId="9" fillId="0" borderId="5" xfId="1" applyNumberFormat="1" applyFont="1" applyFill="1" applyBorder="1" applyAlignment="1">
      <alignment horizontal="center" vertical="center" shrinkToFit="1"/>
    </xf>
    <xf numFmtId="43" fontId="9" fillId="0" borderId="5" xfId="1" applyFont="1" applyFill="1" applyBorder="1" applyAlignment="1">
      <alignment horizontal="center" vertical="center" shrinkToFit="1"/>
    </xf>
    <xf numFmtId="43" fontId="9" fillId="0" borderId="5" xfId="1" applyFont="1" applyFill="1" applyBorder="1" applyAlignment="1">
      <alignment horizontal="center" vertical="center" wrapText="1" shrinkToFit="1"/>
    </xf>
    <xf numFmtId="43" fontId="5" fillId="0" borderId="0" xfId="1" applyFont="1" applyFill="1" applyBorder="1" applyAlignment="1">
      <alignment horizontal="center" vertical="top"/>
    </xf>
    <xf numFmtId="43" fontId="10" fillId="0" borderId="5" xfId="1" applyFont="1" applyFill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center" vertical="center"/>
    </xf>
    <xf numFmtId="43" fontId="36" fillId="0" borderId="5" xfId="1" applyFont="1" applyFill="1" applyBorder="1" applyAlignment="1">
      <alignment horizontal="center" vertical="center" shrinkToFit="1"/>
    </xf>
    <xf numFmtId="14" fontId="10" fillId="0" borderId="5" xfId="1" applyNumberFormat="1" applyFont="1" applyFill="1" applyBorder="1" applyAlignment="1">
      <alignment horizontal="center" vertical="center" shrinkToFit="1"/>
    </xf>
    <xf numFmtId="0" fontId="10" fillId="0" borderId="5" xfId="1" applyNumberFormat="1" applyFont="1" applyFill="1" applyBorder="1" applyAlignment="1">
      <alignment horizontal="center" vertical="center" textRotation="90" shrinkToFit="1"/>
    </xf>
    <xf numFmtId="43" fontId="39" fillId="0" borderId="5" xfId="1" applyFont="1" applyFill="1" applyBorder="1" applyAlignment="1">
      <alignment horizontal="center" vertical="center"/>
    </xf>
    <xf numFmtId="43" fontId="39" fillId="0" borderId="5" xfId="1" applyFont="1" applyFill="1" applyBorder="1" applyAlignment="1">
      <alignment horizontal="center" vertical="top"/>
    </xf>
    <xf numFmtId="43" fontId="0" fillId="0" borderId="5" xfId="1" applyFont="1" applyFill="1" applyBorder="1" applyAlignment="1">
      <alignment horizontal="center" vertical="top"/>
    </xf>
    <xf numFmtId="43" fontId="36" fillId="0" borderId="10" xfId="1" applyFont="1" applyFill="1" applyBorder="1" applyAlignment="1">
      <alignment horizontal="center" vertical="center"/>
    </xf>
    <xf numFmtId="43" fontId="36" fillId="0" borderId="9" xfId="1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43" fontId="10" fillId="0" borderId="35" xfId="1" applyFont="1" applyFill="1" applyBorder="1" applyAlignment="1">
      <alignment horizontal="center" vertical="center" shrinkToFit="1"/>
    </xf>
    <xf numFmtId="0" fontId="36" fillId="0" borderId="0" xfId="0" applyFont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 shrinkToFit="1"/>
    </xf>
    <xf numFmtId="0" fontId="10" fillId="0" borderId="0" xfId="1" applyNumberFormat="1" applyFont="1" applyFill="1" applyBorder="1" applyAlignment="1">
      <alignment horizontal="center" vertical="center" shrinkToFit="1"/>
    </xf>
    <xf numFmtId="0" fontId="2" fillId="0" borderId="35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43" fontId="0" fillId="0" borderId="10" xfId="1" applyFont="1" applyBorder="1" applyAlignment="1">
      <alignment horizontal="center" vertical="center"/>
    </xf>
    <xf numFmtId="43" fontId="0" fillId="0" borderId="9" xfId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10" xfId="1" applyNumberFormat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43" fontId="0" fillId="0" borderId="8" xfId="1" applyFont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textRotation="90" wrapText="1"/>
    </xf>
    <xf numFmtId="0" fontId="0" fillId="0" borderId="10" xfId="1" applyNumberFormat="1" applyFon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left" vertical="top"/>
    </xf>
    <xf numFmtId="164" fontId="0" fillId="0" borderId="1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5" xfId="0" applyFont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top"/>
    </xf>
    <xf numFmtId="14" fontId="0" fillId="0" borderId="5" xfId="1" applyNumberFormat="1" applyFont="1" applyBorder="1" applyAlignment="1">
      <alignment horizontal="center" vertical="top"/>
    </xf>
    <xf numFmtId="14" fontId="0" fillId="0" borderId="5" xfId="0" applyNumberForma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5" fillId="0" borderId="10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 textRotation="90"/>
    </xf>
    <xf numFmtId="0" fontId="11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43" fontId="2" fillId="0" borderId="10" xfId="1" applyFont="1" applyBorder="1" applyAlignment="1">
      <alignment horizontal="center" vertical="center" wrapText="1"/>
    </xf>
    <xf numFmtId="43" fontId="2" fillId="0" borderId="8" xfId="1" applyFont="1" applyBorder="1" applyAlignment="1">
      <alignment horizontal="center" vertical="center" wrapText="1"/>
    </xf>
    <xf numFmtId="43" fontId="2" fillId="0" borderId="9" xfId="1" applyFont="1" applyBorder="1" applyAlignment="1">
      <alignment horizontal="center" vertical="center" wrapText="1"/>
    </xf>
    <xf numFmtId="14" fontId="2" fillId="0" borderId="10" xfId="1" applyNumberFormat="1" applyFont="1" applyBorder="1" applyAlignment="1">
      <alignment horizontal="center" vertical="center" wrapText="1"/>
    </xf>
    <xf numFmtId="14" fontId="2" fillId="0" borderId="8" xfId="1" applyNumberFormat="1" applyFont="1" applyBorder="1" applyAlignment="1">
      <alignment horizontal="center" vertical="center" wrapText="1"/>
    </xf>
    <xf numFmtId="14" fontId="2" fillId="0" borderId="9" xfId="1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43" fontId="0" fillId="2" borderId="5" xfId="1" applyFont="1" applyFill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/>
    </xf>
    <xf numFmtId="43" fontId="5" fillId="0" borderId="5" xfId="1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38" fillId="0" borderId="7" xfId="0" applyFont="1" applyBorder="1" applyAlignment="1">
      <alignment horizontal="center"/>
    </xf>
    <xf numFmtId="14" fontId="38" fillId="0" borderId="1" xfId="0" applyNumberFormat="1" applyFont="1" applyBorder="1" applyAlignment="1">
      <alignment horizontal="center"/>
    </xf>
    <xf numFmtId="4" fontId="38" fillId="0" borderId="1" xfId="0" applyNumberFormat="1" applyFont="1" applyBorder="1" applyAlignment="1">
      <alignment horizontal="center" vertical="center"/>
    </xf>
  </cellXfs>
  <cellStyles count="3">
    <cellStyle name="Milliers" xfId="1" builtinId="3"/>
    <cellStyle name="Milliers 2" xfId="2" xr:uid="{00000000-0005-0000-0000-000001000000}"/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CC"/>
      <color rgb="FFFF8989"/>
      <color rgb="FFFFCCFF"/>
      <color rgb="FF002060"/>
      <color rgb="FFC4BD97"/>
      <color rgb="FF99CCFF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G44"/>
  <sheetViews>
    <sheetView tabSelected="1" view="pageLayout" zoomScale="101" zoomScaleNormal="70" zoomScaleSheetLayoutView="38" zoomScalePageLayoutView="101" workbookViewId="0">
      <selection activeCell="G5" sqref="G5"/>
    </sheetView>
  </sheetViews>
  <sheetFormatPr baseColWidth="10" defaultColWidth="12.6640625" defaultRowHeight="11.25" x14ac:dyDescent="0.2"/>
  <cols>
    <col min="1" max="1" width="13.6640625" style="114" customWidth="1"/>
    <col min="2" max="2" width="15.6640625" style="114" customWidth="1"/>
    <col min="3" max="3" width="34" style="114" customWidth="1"/>
    <col min="4" max="4" width="23.5" style="114" customWidth="1"/>
    <col min="5" max="5" width="21.33203125" style="114" customWidth="1"/>
    <col min="6" max="6" width="18.33203125" style="134" customWidth="1"/>
    <col min="7" max="7" width="24" style="134" customWidth="1"/>
    <col min="8" max="16384" width="12.6640625" style="114"/>
  </cols>
  <sheetData>
    <row r="1" spans="1:7" ht="9.9499999999999993" customHeight="1" x14ac:dyDescent="0.2">
      <c r="C1" s="314" t="s">
        <v>218</v>
      </c>
      <c r="D1" s="314"/>
      <c r="E1" s="314"/>
      <c r="F1" s="314"/>
    </row>
    <row r="2" spans="1:7" ht="15" customHeight="1" x14ac:dyDescent="0.2">
      <c r="A2" s="315" t="s">
        <v>3</v>
      </c>
      <c r="B2" s="315"/>
      <c r="C2" s="315"/>
      <c r="D2" s="315"/>
      <c r="E2" s="315" t="s">
        <v>4</v>
      </c>
      <c r="F2" s="315"/>
      <c r="G2" s="315"/>
    </row>
    <row r="3" spans="1:7" ht="9" customHeight="1" x14ac:dyDescent="0.2">
      <c r="A3" s="115" t="s">
        <v>5</v>
      </c>
      <c r="B3" s="115" t="s">
        <v>6</v>
      </c>
      <c r="C3" s="115" t="s">
        <v>7</v>
      </c>
      <c r="D3" s="115" t="s">
        <v>8</v>
      </c>
      <c r="E3" s="115" t="s">
        <v>5</v>
      </c>
      <c r="F3" s="154" t="s">
        <v>9</v>
      </c>
      <c r="G3" s="154" t="s">
        <v>8</v>
      </c>
    </row>
    <row r="4" spans="1:7" ht="9" customHeight="1" x14ac:dyDescent="0.2">
      <c r="A4" s="522"/>
      <c r="B4" s="115"/>
      <c r="C4" s="115"/>
      <c r="D4" s="521"/>
      <c r="E4" s="115"/>
      <c r="F4" s="157" t="s">
        <v>207</v>
      </c>
      <c r="G4" s="523">
        <v>14000000</v>
      </c>
    </row>
    <row r="5" spans="1:7" x14ac:dyDescent="0.2">
      <c r="A5" s="145">
        <v>44681</v>
      </c>
      <c r="B5" s="117" t="s">
        <v>57</v>
      </c>
      <c r="C5" s="117" t="s">
        <v>58</v>
      </c>
      <c r="D5" s="146">
        <v>8115831.0700000003</v>
      </c>
      <c r="E5" s="145">
        <v>44689</v>
      </c>
      <c r="F5" s="157" t="s">
        <v>207</v>
      </c>
      <c r="G5" s="155">
        <v>10000000</v>
      </c>
    </row>
    <row r="6" spans="1:7" x14ac:dyDescent="0.2">
      <c r="A6" s="145">
        <v>44711</v>
      </c>
      <c r="B6" s="117" t="s">
        <v>59</v>
      </c>
      <c r="C6" s="117" t="s">
        <v>58</v>
      </c>
      <c r="D6" s="146">
        <v>11866115.98</v>
      </c>
      <c r="E6" s="291">
        <v>44717</v>
      </c>
      <c r="F6" s="296" t="s">
        <v>207</v>
      </c>
      <c r="G6" s="293">
        <v>10000000</v>
      </c>
    </row>
    <row r="7" spans="1:7" x14ac:dyDescent="0.2">
      <c r="A7" s="145">
        <v>44742</v>
      </c>
      <c r="B7" s="117" t="s">
        <v>60</v>
      </c>
      <c r="C7" s="117" t="s">
        <v>58</v>
      </c>
      <c r="D7" s="146">
        <v>20066331.050000001</v>
      </c>
      <c r="E7" s="291">
        <v>44731</v>
      </c>
      <c r="F7" s="296" t="s">
        <v>207</v>
      </c>
      <c r="G7" s="293">
        <v>10000000</v>
      </c>
    </row>
    <row r="8" spans="1:7" x14ac:dyDescent="0.2">
      <c r="A8" s="145">
        <v>44772</v>
      </c>
      <c r="B8" s="117" t="s">
        <v>61</v>
      </c>
      <c r="C8" s="117" t="s">
        <v>58</v>
      </c>
      <c r="D8" s="146">
        <v>13605383.640000001</v>
      </c>
      <c r="E8" s="145">
        <v>44755</v>
      </c>
      <c r="F8" s="157" t="s">
        <v>207</v>
      </c>
      <c r="G8" s="155">
        <v>4000000</v>
      </c>
    </row>
    <row r="9" spans="1:7" x14ac:dyDescent="0.2">
      <c r="A9" s="145">
        <v>44803</v>
      </c>
      <c r="B9" s="117" t="s">
        <v>62</v>
      </c>
      <c r="C9" s="117" t="s">
        <v>58</v>
      </c>
      <c r="D9" s="146">
        <v>21495737.289999999</v>
      </c>
      <c r="E9" s="145">
        <v>44770</v>
      </c>
      <c r="F9" s="157" t="s">
        <v>207</v>
      </c>
      <c r="G9" s="155">
        <v>20000000</v>
      </c>
    </row>
    <row r="10" spans="1:7" x14ac:dyDescent="0.2">
      <c r="A10" s="145">
        <v>44834</v>
      </c>
      <c r="B10" s="117" t="s">
        <v>63</v>
      </c>
      <c r="C10" s="117" t="s">
        <v>58</v>
      </c>
      <c r="D10" s="146">
        <v>20692365.149999999</v>
      </c>
      <c r="E10" s="145">
        <v>44789</v>
      </c>
      <c r="F10" s="157" t="s">
        <v>207</v>
      </c>
      <c r="G10" s="155">
        <v>10000000</v>
      </c>
    </row>
    <row r="11" spans="1:7" x14ac:dyDescent="0.2">
      <c r="A11" s="145">
        <v>44864</v>
      </c>
      <c r="B11" s="117" t="s">
        <v>64</v>
      </c>
      <c r="C11" s="117" t="s">
        <v>58</v>
      </c>
      <c r="D11" s="146">
        <v>19613296.850000001</v>
      </c>
      <c r="E11" s="291">
        <v>44822</v>
      </c>
      <c r="F11" s="296" t="s">
        <v>207</v>
      </c>
      <c r="G11" s="293">
        <v>30000000</v>
      </c>
    </row>
    <row r="12" spans="1:7" x14ac:dyDescent="0.2">
      <c r="A12" s="145">
        <v>44895</v>
      </c>
      <c r="B12" s="117" t="s">
        <v>65</v>
      </c>
      <c r="C12" s="117" t="s">
        <v>58</v>
      </c>
      <c r="D12" s="146">
        <v>27122459.73</v>
      </c>
      <c r="E12" s="291">
        <v>44839</v>
      </c>
      <c r="F12" s="296" t="s">
        <v>207</v>
      </c>
      <c r="G12" s="293">
        <v>5000000</v>
      </c>
    </row>
    <row r="13" spans="1:7" x14ac:dyDescent="0.2">
      <c r="A13" s="145">
        <v>44926</v>
      </c>
      <c r="B13" s="117" t="s">
        <v>66</v>
      </c>
      <c r="C13" s="117" t="s">
        <v>58</v>
      </c>
      <c r="D13" s="146">
        <v>20460057.629999999</v>
      </c>
      <c r="E13" s="145">
        <v>44872</v>
      </c>
      <c r="F13" s="157" t="s">
        <v>207</v>
      </c>
      <c r="G13" s="155">
        <v>20000000</v>
      </c>
    </row>
    <row r="14" spans="1:7" x14ac:dyDescent="0.2">
      <c r="A14" s="145">
        <v>44957</v>
      </c>
      <c r="B14" s="117" t="s">
        <v>67</v>
      </c>
      <c r="C14" s="117" t="s">
        <v>58</v>
      </c>
      <c r="D14" s="146">
        <v>44603073.350000001</v>
      </c>
      <c r="E14" s="291">
        <v>44893</v>
      </c>
      <c r="F14" s="296" t="s">
        <v>207</v>
      </c>
      <c r="G14" s="293">
        <v>30000000</v>
      </c>
    </row>
    <row r="15" spans="1:7" x14ac:dyDescent="0.2">
      <c r="A15" s="145">
        <v>44985</v>
      </c>
      <c r="B15" s="117" t="s">
        <v>68</v>
      </c>
      <c r="C15" s="117" t="s">
        <v>58</v>
      </c>
      <c r="D15" s="146">
        <v>21603959.879999999</v>
      </c>
      <c r="E15" s="291">
        <v>44929</v>
      </c>
      <c r="F15" s="296" t="s">
        <v>207</v>
      </c>
      <c r="G15" s="293">
        <v>15000000</v>
      </c>
    </row>
    <row r="16" spans="1:7" x14ac:dyDescent="0.2">
      <c r="A16" s="145">
        <v>45016</v>
      </c>
      <c r="B16" s="117" t="s">
        <v>69</v>
      </c>
      <c r="C16" s="117" t="s">
        <v>58</v>
      </c>
      <c r="D16" s="146">
        <v>27415130.289999999</v>
      </c>
      <c r="E16" s="295" t="s">
        <v>206</v>
      </c>
      <c r="F16" s="296" t="s">
        <v>207</v>
      </c>
      <c r="G16" s="293">
        <v>10000000</v>
      </c>
    </row>
    <row r="17" spans="1:7" x14ac:dyDescent="0.2">
      <c r="A17" s="145">
        <v>45046</v>
      </c>
      <c r="B17" s="117" t="s">
        <v>70</v>
      </c>
      <c r="C17" s="117" t="s">
        <v>58</v>
      </c>
      <c r="D17" s="146">
        <v>16714231.039999999</v>
      </c>
      <c r="E17" s="145">
        <v>44952</v>
      </c>
      <c r="F17" s="157" t="s">
        <v>207</v>
      </c>
      <c r="G17" s="155">
        <v>10000000</v>
      </c>
    </row>
    <row r="18" spans="1:7" x14ac:dyDescent="0.2">
      <c r="A18" s="145">
        <v>45077</v>
      </c>
      <c r="B18" s="117" t="s">
        <v>71</v>
      </c>
      <c r="C18" s="117" t="s">
        <v>58</v>
      </c>
      <c r="D18" s="146">
        <v>15587736.68</v>
      </c>
      <c r="E18" s="291">
        <v>44976</v>
      </c>
      <c r="F18" s="296" t="s">
        <v>207</v>
      </c>
      <c r="G18" s="293">
        <v>25000000</v>
      </c>
    </row>
    <row r="19" spans="1:7" x14ac:dyDescent="0.2">
      <c r="A19" s="145">
        <v>45107</v>
      </c>
      <c r="B19" s="117" t="s">
        <v>72</v>
      </c>
      <c r="C19" s="117" t="s">
        <v>58</v>
      </c>
      <c r="D19" s="146">
        <v>31925473.289999999</v>
      </c>
      <c r="E19" s="145">
        <v>45007</v>
      </c>
      <c r="F19" s="157" t="s">
        <v>207</v>
      </c>
      <c r="G19" s="155">
        <v>2000000</v>
      </c>
    </row>
    <row r="20" spans="1:7" x14ac:dyDescent="0.2">
      <c r="A20" s="145">
        <v>45138</v>
      </c>
      <c r="B20" s="117" t="s">
        <v>73</v>
      </c>
      <c r="C20" s="117" t="s">
        <v>58</v>
      </c>
      <c r="D20" s="146">
        <v>9446399.3300000001</v>
      </c>
      <c r="E20" s="145">
        <v>45018</v>
      </c>
      <c r="F20" s="157" t="s">
        <v>207</v>
      </c>
      <c r="G20" s="155">
        <v>18000000</v>
      </c>
    </row>
    <row r="21" spans="1:7" x14ac:dyDescent="0.2">
      <c r="A21" s="145">
        <v>45169</v>
      </c>
      <c r="B21" s="117" t="s">
        <v>74</v>
      </c>
      <c r="C21" s="117" t="s">
        <v>58</v>
      </c>
      <c r="D21" s="146">
        <v>28320550.82</v>
      </c>
      <c r="E21" s="291">
        <v>45032</v>
      </c>
      <c r="F21" s="292" t="s">
        <v>75</v>
      </c>
      <c r="G21" s="293">
        <v>15000000</v>
      </c>
    </row>
    <row r="22" spans="1:7" x14ac:dyDescent="0.2">
      <c r="A22" s="145">
        <v>45199</v>
      </c>
      <c r="B22" s="117" t="s">
        <v>76</v>
      </c>
      <c r="C22" s="117" t="s">
        <v>58</v>
      </c>
      <c r="D22" s="116">
        <v>20684436.190000001</v>
      </c>
      <c r="E22" s="291">
        <v>45049</v>
      </c>
      <c r="F22" s="292" t="s">
        <v>77</v>
      </c>
      <c r="G22" s="293">
        <v>15000000</v>
      </c>
    </row>
    <row r="23" spans="1:7" x14ac:dyDescent="0.2">
      <c r="A23" s="145">
        <v>45230</v>
      </c>
      <c r="B23" s="117" t="s">
        <v>78</v>
      </c>
      <c r="C23" s="117" t="s">
        <v>58</v>
      </c>
      <c r="D23" s="116">
        <v>21980685.93</v>
      </c>
      <c r="E23" s="291">
        <v>45055</v>
      </c>
      <c r="F23" s="292" t="s">
        <v>79</v>
      </c>
      <c r="G23" s="293">
        <v>10000000</v>
      </c>
    </row>
    <row r="24" spans="1:7" x14ac:dyDescent="0.2">
      <c r="A24" s="145">
        <v>45260</v>
      </c>
      <c r="B24" s="117" t="s">
        <v>80</v>
      </c>
      <c r="C24" s="117" t="s">
        <v>58</v>
      </c>
      <c r="D24" s="116">
        <v>25154807.079999998</v>
      </c>
      <c r="E24" s="291">
        <v>45095</v>
      </c>
      <c r="F24" s="292" t="s">
        <v>81</v>
      </c>
      <c r="G24" s="293">
        <v>10000000</v>
      </c>
    </row>
    <row r="25" spans="1:7" x14ac:dyDescent="0.2">
      <c r="A25" s="145">
        <v>45291</v>
      </c>
      <c r="B25" s="117" t="s">
        <v>82</v>
      </c>
      <c r="C25" s="117" t="s">
        <v>58</v>
      </c>
      <c r="D25" s="116">
        <v>19770791.59</v>
      </c>
      <c r="E25" s="291">
        <v>45095</v>
      </c>
      <c r="F25" s="292" t="s">
        <v>83</v>
      </c>
      <c r="G25" s="293">
        <v>7000000</v>
      </c>
    </row>
    <row r="26" spans="1:7" x14ac:dyDescent="0.2">
      <c r="A26" s="145">
        <v>45322</v>
      </c>
      <c r="B26" s="117" t="s">
        <v>84</v>
      </c>
      <c r="C26" s="117" t="s">
        <v>58</v>
      </c>
      <c r="D26" s="116">
        <v>18243513.829999998</v>
      </c>
      <c r="E26" s="291">
        <v>45131</v>
      </c>
      <c r="F26" s="292" t="s">
        <v>85</v>
      </c>
      <c r="G26" s="293">
        <v>20000000</v>
      </c>
    </row>
    <row r="27" spans="1:7" x14ac:dyDescent="0.2">
      <c r="A27" s="145">
        <v>45351</v>
      </c>
      <c r="B27" s="117" t="s">
        <v>86</v>
      </c>
      <c r="C27" s="117" t="s">
        <v>58</v>
      </c>
      <c r="D27" s="116">
        <v>5824466.7300000004</v>
      </c>
      <c r="E27" s="291">
        <v>45141</v>
      </c>
      <c r="F27" s="292" t="s">
        <v>87</v>
      </c>
      <c r="G27" s="293">
        <v>10000000</v>
      </c>
    </row>
    <row r="28" spans="1:7" x14ac:dyDescent="0.2">
      <c r="A28" s="145">
        <v>45382</v>
      </c>
      <c r="B28" s="117" t="s">
        <v>228</v>
      </c>
      <c r="C28" s="117" t="s">
        <v>58</v>
      </c>
      <c r="D28" s="116">
        <v>4119868.68</v>
      </c>
      <c r="E28" s="291">
        <v>45195</v>
      </c>
      <c r="F28" s="292" t="s">
        <v>88</v>
      </c>
      <c r="G28" s="293">
        <v>20000000</v>
      </c>
    </row>
    <row r="29" spans="1:7" x14ac:dyDescent="0.2">
      <c r="A29" s="145">
        <v>45466</v>
      </c>
      <c r="B29" s="117" t="s">
        <v>229</v>
      </c>
      <c r="C29" s="117" t="s">
        <v>58</v>
      </c>
      <c r="D29" s="116">
        <v>7621290.3600000003</v>
      </c>
      <c r="E29" s="291">
        <v>45224</v>
      </c>
      <c r="F29" s="292" t="s">
        <v>89</v>
      </c>
      <c r="G29" s="293">
        <v>15000000</v>
      </c>
    </row>
    <row r="30" spans="1:7" ht="9.6" customHeight="1" x14ac:dyDescent="0.2">
      <c r="A30" s="117"/>
      <c r="B30" s="117" t="s">
        <v>267</v>
      </c>
      <c r="C30" s="117" t="s">
        <v>58</v>
      </c>
      <c r="D30" s="116">
        <v>6986670.5700000003</v>
      </c>
      <c r="E30" s="316"/>
      <c r="F30" s="316"/>
      <c r="G30" s="155">
        <v>0</v>
      </c>
    </row>
    <row r="31" spans="1:7" ht="9" customHeight="1" x14ac:dyDescent="0.2">
      <c r="A31" s="117"/>
      <c r="B31" s="245" t="s">
        <v>266</v>
      </c>
      <c r="C31" s="245" t="s">
        <v>268</v>
      </c>
      <c r="D31" s="246">
        <v>1113078.31</v>
      </c>
      <c r="E31" s="317"/>
      <c r="F31" s="317"/>
      <c r="G31" s="155">
        <v>0</v>
      </c>
    </row>
    <row r="32" spans="1:7" ht="10.5" customHeight="1" x14ac:dyDescent="0.2">
      <c r="A32" s="117"/>
      <c r="B32" s="117"/>
      <c r="C32" s="117" t="s">
        <v>130</v>
      </c>
      <c r="D32" s="146"/>
      <c r="E32" s="280">
        <v>45267</v>
      </c>
      <c r="F32" s="281" t="s">
        <v>91</v>
      </c>
      <c r="G32" s="287">
        <v>10000000</v>
      </c>
    </row>
    <row r="33" spans="1:7" x14ac:dyDescent="0.2">
      <c r="A33" s="117"/>
      <c r="B33" s="117"/>
      <c r="C33" s="117"/>
      <c r="D33" s="146"/>
      <c r="E33" s="280">
        <v>45279</v>
      </c>
      <c r="F33" s="281" t="s">
        <v>208</v>
      </c>
      <c r="G33" s="294">
        <v>10000000</v>
      </c>
    </row>
    <row r="34" spans="1:7" x14ac:dyDescent="0.2">
      <c r="A34" s="117"/>
      <c r="B34" s="117"/>
      <c r="C34" s="117"/>
      <c r="D34" s="146"/>
      <c r="E34" s="283">
        <v>45313</v>
      </c>
      <c r="F34" s="284" t="s">
        <v>201</v>
      </c>
      <c r="G34" s="285">
        <v>19770791.59</v>
      </c>
    </row>
    <row r="35" spans="1:7" x14ac:dyDescent="0.2">
      <c r="A35" s="117"/>
      <c r="B35" s="117"/>
      <c r="C35" s="117"/>
      <c r="D35" s="146"/>
      <c r="E35" s="280">
        <v>45342</v>
      </c>
      <c r="F35" s="281">
        <v>140572</v>
      </c>
      <c r="G35" s="286">
        <v>10000000</v>
      </c>
    </row>
    <row r="36" spans="1:7" x14ac:dyDescent="0.2">
      <c r="A36" s="117"/>
      <c r="B36" s="117"/>
      <c r="C36" s="117"/>
      <c r="D36" s="146"/>
      <c r="E36" s="280">
        <v>45375</v>
      </c>
      <c r="F36" s="281">
        <v>140586</v>
      </c>
      <c r="G36" s="287">
        <v>15000000</v>
      </c>
    </row>
    <row r="37" spans="1:7" x14ac:dyDescent="0.2">
      <c r="A37" s="117"/>
      <c r="B37" s="117"/>
      <c r="C37" s="117" t="s">
        <v>0</v>
      </c>
      <c r="D37" s="146"/>
      <c r="E37" s="288">
        <v>45432</v>
      </c>
      <c r="F37" s="289">
        <v>470429</v>
      </c>
      <c r="G37" s="290">
        <v>10000000</v>
      </c>
    </row>
    <row r="38" spans="1:7" x14ac:dyDescent="0.2">
      <c r="A38" s="117"/>
      <c r="B38" s="117"/>
      <c r="C38" s="117"/>
      <c r="D38" s="146"/>
      <c r="E38" s="280">
        <v>45445</v>
      </c>
      <c r="F38" s="281">
        <v>470442</v>
      </c>
      <c r="G38" s="282">
        <v>10000000</v>
      </c>
    </row>
    <row r="39" spans="1:7" x14ac:dyDescent="0.2">
      <c r="A39" s="117"/>
      <c r="B39" s="117"/>
      <c r="C39" s="117"/>
      <c r="D39" s="146"/>
      <c r="E39" s="280">
        <v>45484</v>
      </c>
      <c r="F39" s="281">
        <v>470487</v>
      </c>
      <c r="G39" s="282">
        <v>12000000</v>
      </c>
    </row>
    <row r="40" spans="1:7" x14ac:dyDescent="0.2">
      <c r="A40" s="117"/>
      <c r="B40" s="117"/>
      <c r="C40" s="117"/>
      <c r="D40" s="146"/>
      <c r="E40" s="280">
        <v>45613</v>
      </c>
      <c r="F40" s="281" t="s">
        <v>217</v>
      </c>
      <c r="G40" s="282">
        <v>3000000</v>
      </c>
    </row>
    <row r="41" spans="1:7" x14ac:dyDescent="0.2">
      <c r="A41" s="117"/>
      <c r="B41" s="117"/>
      <c r="C41" s="117"/>
      <c r="D41" s="146"/>
      <c r="E41" s="280">
        <v>45629</v>
      </c>
      <c r="F41" s="281"/>
      <c r="G41" s="282">
        <v>3000000</v>
      </c>
    </row>
    <row r="42" spans="1:7" x14ac:dyDescent="0.2">
      <c r="A42" s="162"/>
      <c r="B42" s="162"/>
      <c r="C42" s="162"/>
      <c r="D42" s="146"/>
      <c r="E42" s="131"/>
      <c r="F42" s="158"/>
      <c r="G42" s="156"/>
    </row>
    <row r="43" spans="1:7" ht="27" customHeight="1" x14ac:dyDescent="0.2">
      <c r="A43" s="312" t="s">
        <v>92</v>
      </c>
      <c r="B43" s="312"/>
      <c r="C43" s="312"/>
      <c r="D43" s="161">
        <f>SUM(D5:D42)</f>
        <v>490153742.33999997</v>
      </c>
      <c r="E43" s="313" t="s">
        <v>92</v>
      </c>
      <c r="F43" s="313"/>
      <c r="G43" s="160">
        <f>SUM(G5:G41)</f>
        <v>453770791.58999997</v>
      </c>
    </row>
    <row r="44" spans="1:7" ht="27" customHeight="1" x14ac:dyDescent="0.2">
      <c r="A44" s="311" t="s">
        <v>160</v>
      </c>
      <c r="B44" s="311"/>
      <c r="C44" s="311"/>
      <c r="D44" s="159">
        <f>D43-G43</f>
        <v>36382950.75</v>
      </c>
      <c r="E44" s="118"/>
    </row>
  </sheetData>
  <mergeCells count="8">
    <mergeCell ref="A44:C44"/>
    <mergeCell ref="A43:C43"/>
    <mergeCell ref="E43:F43"/>
    <mergeCell ref="C1:F1"/>
    <mergeCell ref="A2:D2"/>
    <mergeCell ref="E2:G2"/>
    <mergeCell ref="E30:F30"/>
    <mergeCell ref="E31:F31"/>
  </mergeCells>
  <phoneticPr fontId="15" type="noConversion"/>
  <pageMargins left="0.25" right="0.25" top="0.75" bottom="0.75" header="0.3" footer="0.3"/>
  <pageSetup paperSize="9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I42"/>
  <sheetViews>
    <sheetView zoomScale="84" zoomScaleNormal="70" zoomScaleSheetLayoutView="96" workbookViewId="0">
      <selection activeCell="C4" sqref="C4:D4"/>
    </sheetView>
  </sheetViews>
  <sheetFormatPr baseColWidth="10" defaultColWidth="12.6640625" defaultRowHeight="11.25" x14ac:dyDescent="0.2"/>
  <cols>
    <col min="1" max="1" width="13.6640625" style="114" customWidth="1"/>
    <col min="2" max="2" width="15.6640625" style="114" customWidth="1"/>
    <col min="3" max="3" width="35.6640625" style="114" customWidth="1"/>
    <col min="4" max="4" width="23.5" style="114" customWidth="1"/>
    <col min="5" max="5" width="21.33203125" style="114" customWidth="1"/>
    <col min="6" max="8" width="18.33203125" style="119" customWidth="1"/>
    <col min="9" max="9" width="24" style="251" customWidth="1"/>
    <col min="10" max="16384" width="12.6640625" style="114"/>
  </cols>
  <sheetData>
    <row r="1" spans="1:9" ht="24.95" customHeight="1" x14ac:dyDescent="0.2">
      <c r="C1" s="314" t="s">
        <v>218</v>
      </c>
      <c r="D1" s="314"/>
      <c r="E1" s="314"/>
      <c r="F1" s="314"/>
      <c r="G1" s="235"/>
      <c r="H1" s="235"/>
    </row>
    <row r="2" spans="1:9" ht="18.95" customHeight="1" x14ac:dyDescent="0.2">
      <c r="A2" s="315" t="s">
        <v>3</v>
      </c>
      <c r="B2" s="315"/>
      <c r="C2" s="315"/>
      <c r="D2" s="315"/>
      <c r="E2" s="315" t="s">
        <v>4</v>
      </c>
      <c r="F2" s="315"/>
      <c r="G2" s="315"/>
      <c r="H2" s="315"/>
      <c r="I2" s="315"/>
    </row>
    <row r="3" spans="1:9" ht="22.5" customHeight="1" x14ac:dyDescent="0.2">
      <c r="A3" s="129" t="s">
        <v>5</v>
      </c>
      <c r="B3" s="129" t="s">
        <v>6</v>
      </c>
      <c r="C3" s="129" t="s">
        <v>7</v>
      </c>
      <c r="D3" s="129" t="s">
        <v>8</v>
      </c>
      <c r="E3" s="129" t="s">
        <v>5</v>
      </c>
      <c r="F3" s="129"/>
      <c r="G3" s="129" t="s">
        <v>226</v>
      </c>
      <c r="H3" s="129" t="s">
        <v>269</v>
      </c>
      <c r="I3" s="248" t="s">
        <v>8</v>
      </c>
    </row>
    <row r="4" spans="1:9" ht="18.95" customHeight="1" x14ac:dyDescent="0.2">
      <c r="A4" s="137">
        <v>44650</v>
      </c>
      <c r="B4" s="138"/>
      <c r="C4" s="138" t="s">
        <v>224</v>
      </c>
      <c r="D4" s="139">
        <v>6233430.5</v>
      </c>
      <c r="E4" s="319" t="s">
        <v>90</v>
      </c>
      <c r="F4" s="319"/>
      <c r="G4" s="247"/>
      <c r="H4" s="320">
        <v>1538299.11</v>
      </c>
      <c r="I4" s="252">
        <v>10000000</v>
      </c>
    </row>
    <row r="5" spans="1:9" ht="20.45" customHeight="1" x14ac:dyDescent="0.2">
      <c r="A5" s="137">
        <v>45520</v>
      </c>
      <c r="B5" s="138" t="s">
        <v>57</v>
      </c>
      <c r="C5" s="138" t="s">
        <v>219</v>
      </c>
      <c r="D5" s="139">
        <v>21218556.809999999</v>
      </c>
      <c r="E5" s="319" t="s">
        <v>90</v>
      </c>
      <c r="F5" s="319"/>
      <c r="G5" s="258">
        <v>1116766.1499999999</v>
      </c>
      <c r="H5" s="321"/>
      <c r="I5" s="252">
        <v>5000000</v>
      </c>
    </row>
    <row r="6" spans="1:9" ht="24" customHeight="1" x14ac:dyDescent="0.2">
      <c r="A6" s="137">
        <v>44821</v>
      </c>
      <c r="B6" s="138" t="s">
        <v>59</v>
      </c>
      <c r="C6" s="138" t="s">
        <v>220</v>
      </c>
      <c r="D6" s="139">
        <v>5493979.2000000002</v>
      </c>
      <c r="E6" s="279">
        <v>45631</v>
      </c>
      <c r="F6" s="140"/>
      <c r="G6" s="258">
        <v>289156.8</v>
      </c>
      <c r="H6" s="321"/>
      <c r="I6" s="252">
        <v>2000000</v>
      </c>
    </row>
    <row r="7" spans="1:9" ht="19.5" customHeight="1" x14ac:dyDescent="0.2">
      <c r="A7" s="274">
        <v>44851</v>
      </c>
      <c r="B7" s="138" t="s">
        <v>265</v>
      </c>
      <c r="C7" s="138" t="s">
        <v>220</v>
      </c>
      <c r="D7" s="139">
        <v>2515147</v>
      </c>
      <c r="E7" s="137">
        <v>45469</v>
      </c>
      <c r="F7" s="140"/>
      <c r="G7" s="140"/>
      <c r="H7" s="321"/>
      <c r="I7" s="252">
        <v>1500000</v>
      </c>
    </row>
    <row r="8" spans="1:9" ht="19.5" customHeight="1" x14ac:dyDescent="0.2">
      <c r="A8" s="274"/>
      <c r="B8" s="141"/>
      <c r="C8" s="138"/>
      <c r="D8" s="139"/>
      <c r="E8" s="142"/>
      <c r="F8" s="140"/>
      <c r="G8" s="140"/>
      <c r="H8" s="321"/>
      <c r="I8" s="252"/>
    </row>
    <row r="9" spans="1:9" ht="18" customHeight="1" x14ac:dyDescent="0.2">
      <c r="A9" s="137"/>
      <c r="B9" s="141"/>
      <c r="C9" s="143" t="s">
        <v>92</v>
      </c>
      <c r="D9" s="144">
        <f>SUM(D4:D7)</f>
        <v>35461113.509999998</v>
      </c>
      <c r="E9" s="142"/>
      <c r="F9" s="140"/>
      <c r="G9" s="140"/>
      <c r="H9" s="322"/>
      <c r="I9" s="253">
        <f>SUM(I4:I7)</f>
        <v>18500000</v>
      </c>
    </row>
    <row r="10" spans="1:9" ht="21.95" customHeight="1" x14ac:dyDescent="0.2">
      <c r="A10" s="130"/>
      <c r="B10" s="118"/>
      <c r="C10" s="143" t="s">
        <v>222</v>
      </c>
      <c r="D10" s="144">
        <f>D9-I9</f>
        <v>16961113.509999998</v>
      </c>
      <c r="E10" s="130"/>
      <c r="F10" s="131"/>
      <c r="G10" s="131"/>
      <c r="H10" s="131"/>
      <c r="I10" s="249"/>
    </row>
    <row r="11" spans="1:9" x14ac:dyDescent="0.2">
      <c r="A11" s="130"/>
      <c r="B11" s="118"/>
      <c r="C11" s="118"/>
      <c r="D11" s="132"/>
      <c r="E11" s="130"/>
      <c r="F11" s="131"/>
      <c r="G11" s="131"/>
      <c r="H11" s="131"/>
      <c r="I11" s="249"/>
    </row>
    <row r="12" spans="1:9" x14ac:dyDescent="0.2">
      <c r="A12" s="130"/>
      <c r="B12" s="118"/>
      <c r="C12" s="118"/>
      <c r="D12" s="132"/>
      <c r="E12" s="130"/>
      <c r="F12" s="131"/>
      <c r="G12" s="131"/>
      <c r="H12" s="131"/>
      <c r="I12" s="249"/>
    </row>
    <row r="13" spans="1:9" x14ac:dyDescent="0.2">
      <c r="A13" s="130"/>
      <c r="B13" s="118"/>
      <c r="C13" s="118"/>
      <c r="D13" s="132"/>
      <c r="E13" s="130"/>
      <c r="F13" s="131"/>
      <c r="G13" s="131"/>
      <c r="H13" s="131"/>
      <c r="I13" s="249"/>
    </row>
    <row r="14" spans="1:9" ht="12.95" customHeight="1" x14ac:dyDescent="0.2">
      <c r="A14" s="130"/>
      <c r="B14" s="118"/>
      <c r="C14" s="118"/>
      <c r="D14" s="132"/>
      <c r="E14" s="130"/>
      <c r="F14" s="131"/>
      <c r="G14" s="131"/>
      <c r="H14" s="131"/>
      <c r="I14" s="249"/>
    </row>
    <row r="15" spans="1:9" ht="10.5" customHeight="1" x14ac:dyDescent="0.2">
      <c r="A15" s="130"/>
      <c r="B15" s="118"/>
      <c r="C15" s="118"/>
      <c r="D15" s="132"/>
      <c r="E15" s="130"/>
      <c r="F15" s="131"/>
      <c r="G15" s="131"/>
      <c r="H15" s="131"/>
      <c r="I15" s="249"/>
    </row>
    <row r="16" spans="1:9" ht="10.5" customHeight="1" x14ac:dyDescent="0.2">
      <c r="A16" s="130"/>
      <c r="B16" s="118"/>
      <c r="C16" s="118"/>
      <c r="D16" s="132"/>
      <c r="E16" s="133"/>
      <c r="F16" s="131"/>
      <c r="G16" s="131"/>
      <c r="H16" s="131"/>
      <c r="I16" s="249"/>
    </row>
    <row r="17" spans="1:9" x14ac:dyDescent="0.2">
      <c r="A17" s="130"/>
      <c r="B17" s="118"/>
      <c r="C17" s="118"/>
      <c r="D17" s="132"/>
      <c r="E17" s="130"/>
      <c r="F17" s="131"/>
      <c r="G17" s="131"/>
      <c r="H17" s="131"/>
      <c r="I17" s="249"/>
    </row>
    <row r="18" spans="1:9" x14ac:dyDescent="0.2">
      <c r="A18" s="130"/>
      <c r="B18" s="118"/>
      <c r="C18" s="118"/>
      <c r="D18" s="132"/>
      <c r="E18" s="130"/>
      <c r="F18" s="131"/>
      <c r="G18" s="131"/>
      <c r="H18" s="131"/>
      <c r="I18" s="249"/>
    </row>
    <row r="19" spans="1:9" x14ac:dyDescent="0.2">
      <c r="A19" s="130"/>
      <c r="B19" s="118"/>
      <c r="C19" s="118"/>
      <c r="D19" s="132"/>
      <c r="E19" s="130"/>
      <c r="F19" s="131"/>
      <c r="G19" s="131"/>
      <c r="H19" s="131"/>
      <c r="I19" s="249"/>
    </row>
    <row r="20" spans="1:9" x14ac:dyDescent="0.2">
      <c r="A20" s="130"/>
      <c r="B20" s="118"/>
      <c r="C20" s="118"/>
      <c r="D20" s="132"/>
      <c r="E20" s="130"/>
      <c r="F20" s="131"/>
      <c r="G20" s="131"/>
      <c r="H20" s="131"/>
      <c r="I20" s="249"/>
    </row>
    <row r="21" spans="1:9" x14ac:dyDescent="0.2">
      <c r="A21" s="130"/>
      <c r="B21" s="118"/>
      <c r="C21" s="118"/>
      <c r="D21" s="132"/>
      <c r="E21" s="130"/>
      <c r="F21" s="134"/>
      <c r="G21" s="134"/>
      <c r="H21" s="134"/>
      <c r="I21" s="249"/>
    </row>
    <row r="22" spans="1:9" x14ac:dyDescent="0.2">
      <c r="A22" s="130"/>
      <c r="B22" s="118"/>
      <c r="C22" s="118"/>
      <c r="D22" s="132"/>
      <c r="E22" s="130"/>
      <c r="F22" s="134"/>
      <c r="G22" s="134"/>
      <c r="H22" s="134"/>
      <c r="I22" s="249"/>
    </row>
    <row r="23" spans="1:9" x14ac:dyDescent="0.2">
      <c r="A23" s="130"/>
      <c r="B23" s="118"/>
      <c r="C23" s="118"/>
      <c r="D23" s="132"/>
      <c r="E23" s="130"/>
      <c r="F23" s="134"/>
      <c r="G23" s="134"/>
      <c r="H23" s="134"/>
      <c r="I23" s="249"/>
    </row>
    <row r="24" spans="1:9" x14ac:dyDescent="0.2">
      <c r="A24" s="130"/>
      <c r="B24" s="118"/>
      <c r="C24" s="118"/>
      <c r="D24" s="132"/>
      <c r="E24" s="130"/>
      <c r="F24" s="134"/>
      <c r="G24" s="134"/>
      <c r="H24" s="134"/>
      <c r="I24" s="249"/>
    </row>
    <row r="25" spans="1:9" x14ac:dyDescent="0.2">
      <c r="A25" s="130"/>
      <c r="B25" s="118"/>
      <c r="C25" s="118"/>
      <c r="D25" s="132"/>
      <c r="E25" s="130"/>
      <c r="F25" s="134"/>
      <c r="G25" s="134"/>
      <c r="H25" s="134"/>
      <c r="I25" s="249"/>
    </row>
    <row r="26" spans="1:9" x14ac:dyDescent="0.2">
      <c r="A26" s="130"/>
      <c r="B26" s="118"/>
      <c r="C26" s="118"/>
      <c r="D26" s="132"/>
      <c r="E26" s="130"/>
      <c r="F26" s="134"/>
      <c r="G26" s="134"/>
      <c r="H26" s="134"/>
      <c r="I26" s="249"/>
    </row>
    <row r="27" spans="1:9" x14ac:dyDescent="0.2">
      <c r="A27" s="130"/>
      <c r="B27" s="118"/>
      <c r="C27" s="118"/>
      <c r="D27" s="132"/>
      <c r="E27" s="130"/>
      <c r="F27" s="134"/>
      <c r="G27" s="134"/>
      <c r="H27" s="134"/>
      <c r="I27" s="249"/>
    </row>
    <row r="28" spans="1:9" x14ac:dyDescent="0.2">
      <c r="A28" s="130"/>
      <c r="B28" s="118"/>
      <c r="C28" s="118"/>
      <c r="D28" s="132"/>
      <c r="E28" s="130"/>
      <c r="F28" s="134"/>
      <c r="G28" s="134"/>
      <c r="H28" s="134"/>
      <c r="I28" s="249"/>
    </row>
    <row r="29" spans="1:9" x14ac:dyDescent="0.2">
      <c r="A29" s="130"/>
      <c r="B29" s="118"/>
      <c r="C29" s="118"/>
      <c r="D29" s="132"/>
      <c r="E29" s="130"/>
      <c r="F29" s="134"/>
      <c r="G29" s="134"/>
      <c r="H29" s="134"/>
      <c r="I29" s="249"/>
    </row>
    <row r="30" spans="1:9" ht="9.6" customHeight="1" x14ac:dyDescent="0.2">
      <c r="A30" s="118"/>
      <c r="B30" s="118"/>
      <c r="C30" s="118"/>
      <c r="D30" s="132"/>
    </row>
    <row r="31" spans="1:9" ht="9" customHeight="1" x14ac:dyDescent="0.2">
      <c r="A31" s="118"/>
      <c r="B31" s="118"/>
      <c r="C31" s="118"/>
      <c r="D31" s="132"/>
    </row>
    <row r="32" spans="1:9" ht="10.5" customHeight="1" x14ac:dyDescent="0.2">
      <c r="A32" s="118"/>
      <c r="B32" s="118"/>
      <c r="C32" s="118" t="s">
        <v>130</v>
      </c>
      <c r="D32" s="132"/>
      <c r="E32" s="131"/>
      <c r="F32" s="136"/>
      <c r="G32" s="136"/>
      <c r="H32" s="136"/>
      <c r="I32" s="249"/>
    </row>
    <row r="33" spans="1:9" x14ac:dyDescent="0.2">
      <c r="A33" s="118"/>
      <c r="B33" s="118"/>
      <c r="C33" s="118"/>
      <c r="D33" s="132"/>
      <c r="E33" s="131"/>
      <c r="F33" s="136"/>
      <c r="G33" s="136"/>
      <c r="H33" s="136"/>
      <c r="I33" s="249"/>
    </row>
    <row r="34" spans="1:9" x14ac:dyDescent="0.2">
      <c r="A34" s="118"/>
      <c r="B34" s="118"/>
      <c r="C34" s="118"/>
      <c r="D34" s="132"/>
      <c r="E34" s="131"/>
      <c r="F34" s="136"/>
      <c r="G34" s="136"/>
      <c r="H34" s="136"/>
    </row>
    <row r="35" spans="1:9" x14ac:dyDescent="0.2">
      <c r="A35" s="118"/>
      <c r="B35" s="118"/>
      <c r="C35" s="118"/>
      <c r="D35" s="132"/>
      <c r="E35" s="131"/>
      <c r="F35" s="136"/>
      <c r="G35" s="136"/>
      <c r="H35" s="136"/>
      <c r="I35" s="249"/>
    </row>
    <row r="36" spans="1:9" x14ac:dyDescent="0.2">
      <c r="A36" s="118"/>
      <c r="B36" s="118"/>
      <c r="C36" s="118"/>
      <c r="D36" s="132"/>
      <c r="E36" s="131"/>
      <c r="F36" s="136"/>
      <c r="G36" s="136"/>
      <c r="H36" s="136"/>
      <c r="I36" s="249"/>
    </row>
    <row r="37" spans="1:9" x14ac:dyDescent="0.2">
      <c r="A37" s="118"/>
      <c r="B37" s="118"/>
      <c r="C37" s="118"/>
      <c r="D37" s="132"/>
      <c r="E37" s="131"/>
      <c r="F37" s="136"/>
      <c r="G37" s="136"/>
      <c r="H37" s="136"/>
      <c r="I37" s="250"/>
    </row>
    <row r="38" spans="1:9" x14ac:dyDescent="0.2">
      <c r="A38" s="118"/>
      <c r="B38" s="118"/>
      <c r="C38" s="118"/>
      <c r="D38" s="132"/>
      <c r="E38" s="131"/>
      <c r="F38" s="136"/>
      <c r="G38" s="136"/>
      <c r="H38" s="136"/>
      <c r="I38" s="250"/>
    </row>
    <row r="39" spans="1:9" x14ac:dyDescent="0.2">
      <c r="A39" s="118"/>
      <c r="B39" s="118"/>
      <c r="C39" s="118"/>
      <c r="D39" s="132"/>
      <c r="E39" s="131"/>
      <c r="F39" s="136"/>
      <c r="G39" s="136"/>
      <c r="H39" s="136"/>
      <c r="I39" s="250"/>
    </row>
    <row r="40" spans="1:9" x14ac:dyDescent="0.2">
      <c r="A40" s="118"/>
      <c r="B40" s="118"/>
      <c r="C40" s="118"/>
      <c r="D40" s="132"/>
      <c r="E40" s="131"/>
      <c r="F40" s="136"/>
      <c r="G40" s="136"/>
      <c r="H40" s="136"/>
      <c r="I40" s="250"/>
    </row>
    <row r="41" spans="1:9" ht="27" customHeight="1" x14ac:dyDescent="0.2">
      <c r="A41" s="318"/>
      <c r="B41" s="318"/>
      <c r="C41" s="318"/>
      <c r="D41" s="135"/>
      <c r="E41" s="318"/>
      <c r="F41" s="318"/>
      <c r="G41" s="236"/>
      <c r="H41" s="236"/>
      <c r="I41" s="135"/>
    </row>
    <row r="42" spans="1:9" ht="14.45" customHeight="1" x14ac:dyDescent="0.2">
      <c r="A42" s="118"/>
      <c r="B42" s="118"/>
      <c r="C42" s="118"/>
      <c r="D42" s="128"/>
      <c r="E42" s="118"/>
    </row>
  </sheetData>
  <mergeCells count="8">
    <mergeCell ref="A41:C41"/>
    <mergeCell ref="E41:F41"/>
    <mergeCell ref="C1:F1"/>
    <mergeCell ref="A2:D2"/>
    <mergeCell ref="E2:I2"/>
    <mergeCell ref="E4:F4"/>
    <mergeCell ref="E5:F5"/>
    <mergeCell ref="H4:H9"/>
  </mergeCells>
  <pageMargins left="0.7" right="0.7" top="0.75" bottom="0.75" header="0.3" footer="0.3"/>
  <pageSetup paperSize="9" scale="9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M18"/>
  <sheetViews>
    <sheetView view="pageBreakPreview" topLeftCell="A7" zoomScale="40" zoomScaleNormal="45" zoomScaleSheetLayoutView="40" zoomScalePageLayoutView="20" workbookViewId="0">
      <selection activeCell="M17" sqref="M17"/>
    </sheetView>
  </sheetViews>
  <sheetFormatPr baseColWidth="10" defaultRowHeight="12.75" x14ac:dyDescent="0.2"/>
  <cols>
    <col min="2" max="2" width="20.6640625" customWidth="1"/>
    <col min="3" max="3" width="24.5" customWidth="1"/>
    <col min="4" max="4" width="21.1640625" style="1" customWidth="1"/>
    <col min="5" max="5" width="25.33203125" customWidth="1"/>
    <col min="6" max="6" width="19.5" style="1" customWidth="1"/>
    <col min="7" max="7" width="17.1640625" style="1" customWidth="1"/>
    <col min="8" max="8" width="22.33203125" customWidth="1"/>
    <col min="9" max="9" width="23.5" customWidth="1"/>
    <col min="10" max="10" width="21.33203125" style="37" customWidth="1"/>
    <col min="11" max="12" width="27.1640625" style="1" customWidth="1"/>
    <col min="13" max="13" width="24.1640625" customWidth="1"/>
  </cols>
  <sheetData>
    <row r="1" spans="1:13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</row>
    <row r="2" spans="1:13" ht="24.6" customHeight="1" x14ac:dyDescent="0.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</row>
    <row r="3" spans="1:13" ht="28.5" customHeight="1" x14ac:dyDescent="0.2">
      <c r="A3" s="3"/>
      <c r="B3" s="3"/>
      <c r="C3" s="324" t="s">
        <v>37</v>
      </c>
      <c r="D3" s="324"/>
      <c r="E3" s="324"/>
      <c r="F3" s="324"/>
      <c r="G3" s="324"/>
      <c r="H3" s="324"/>
      <c r="I3" s="324"/>
      <c r="J3" s="324"/>
      <c r="K3" s="324"/>
      <c r="L3" s="324"/>
      <c r="M3" s="324"/>
    </row>
    <row r="4" spans="1:13" ht="34.5" customHeight="1" x14ac:dyDescent="0.2">
      <c r="A4" s="3"/>
      <c r="B4" s="3"/>
      <c r="C4" s="11" t="s">
        <v>36</v>
      </c>
      <c r="D4" s="30"/>
      <c r="E4" s="109"/>
      <c r="F4" s="19"/>
      <c r="G4" s="50"/>
      <c r="H4" s="4"/>
      <c r="I4" s="4"/>
      <c r="J4" s="36"/>
      <c r="K4" s="18"/>
      <c r="L4" s="18"/>
      <c r="M4" s="4"/>
    </row>
    <row r="5" spans="1:13" ht="33" customHeight="1" x14ac:dyDescent="0.2">
      <c r="F5" s="51"/>
      <c r="G5" s="51"/>
      <c r="J5" s="52"/>
      <c r="K5" s="51"/>
      <c r="L5" s="51"/>
      <c r="M5" s="51"/>
    </row>
    <row r="6" spans="1:13" ht="58.5" customHeight="1" x14ac:dyDescent="0.2">
      <c r="A6" s="6"/>
      <c r="B6" s="12" t="s">
        <v>31</v>
      </c>
      <c r="C6" s="12" t="s">
        <v>17</v>
      </c>
      <c r="D6" s="243" t="s">
        <v>21</v>
      </c>
      <c r="E6" s="12" t="s">
        <v>211</v>
      </c>
      <c r="F6" s="166" t="s">
        <v>19</v>
      </c>
      <c r="G6" s="166" t="s">
        <v>28</v>
      </c>
      <c r="H6" s="166" t="s">
        <v>32</v>
      </c>
      <c r="I6" s="166" t="s">
        <v>20</v>
      </c>
      <c r="J6" s="168" t="s">
        <v>27</v>
      </c>
      <c r="K6" s="169" t="s">
        <v>13</v>
      </c>
      <c r="L6" s="169" t="s">
        <v>225</v>
      </c>
      <c r="M6" s="169" t="s">
        <v>214</v>
      </c>
    </row>
    <row r="7" spans="1:13" ht="57.95" customHeight="1" x14ac:dyDescent="0.2">
      <c r="A7" s="344" t="s">
        <v>0</v>
      </c>
      <c r="B7" s="349">
        <v>9505999</v>
      </c>
      <c r="C7" s="171" t="s">
        <v>18</v>
      </c>
      <c r="D7" s="206">
        <v>2046113.83</v>
      </c>
      <c r="E7" s="325">
        <f>D7+D8+D10+D13+D15</f>
        <v>9655036.1699999999</v>
      </c>
      <c r="F7" s="207" t="s">
        <v>135</v>
      </c>
      <c r="G7" s="275">
        <v>2046113.83</v>
      </c>
      <c r="H7" s="208">
        <v>45224</v>
      </c>
      <c r="I7" s="209" t="s">
        <v>26</v>
      </c>
      <c r="J7" s="210" t="s">
        <v>136</v>
      </c>
      <c r="K7" s="336">
        <f>G7+G8+G10+G11+G12+G13+G14+G15+G16</f>
        <v>9487480.5700000003</v>
      </c>
      <c r="L7" s="336">
        <v>496257</v>
      </c>
      <c r="M7" s="339">
        <f>E7-K7</f>
        <v>167555.59999999963</v>
      </c>
    </row>
    <row r="8" spans="1:13" ht="52.5" customHeight="1" x14ac:dyDescent="0.2">
      <c r="A8" s="345"/>
      <c r="B8" s="350"/>
      <c r="C8" s="336" t="s">
        <v>23</v>
      </c>
      <c r="D8" s="325">
        <v>3053318.79</v>
      </c>
      <c r="E8" s="348"/>
      <c r="F8" s="327" t="s">
        <v>134</v>
      </c>
      <c r="G8" s="329">
        <v>3053318.79</v>
      </c>
      <c r="H8" s="330">
        <v>45298</v>
      </c>
      <c r="I8" s="332" t="s">
        <v>42</v>
      </c>
      <c r="J8" s="334" t="s">
        <v>209</v>
      </c>
      <c r="K8" s="338"/>
      <c r="L8" s="338"/>
      <c r="M8" s="340"/>
    </row>
    <row r="9" spans="1:13" ht="64.5" customHeight="1" x14ac:dyDescent="0.2">
      <c r="A9" s="345"/>
      <c r="B9" s="350"/>
      <c r="C9" s="337"/>
      <c r="D9" s="326"/>
      <c r="E9" s="348"/>
      <c r="F9" s="328"/>
      <c r="G9" s="329"/>
      <c r="H9" s="331"/>
      <c r="I9" s="333"/>
      <c r="J9" s="335"/>
      <c r="K9" s="338"/>
      <c r="L9" s="338"/>
      <c r="M9" s="340"/>
    </row>
    <row r="10" spans="1:13" ht="66.599999999999994" customHeight="1" x14ac:dyDescent="0.2">
      <c r="A10" s="345"/>
      <c r="B10" s="350"/>
      <c r="C10" s="336" t="s">
        <v>24</v>
      </c>
      <c r="D10" s="346">
        <v>2892047.95</v>
      </c>
      <c r="E10" s="348"/>
      <c r="F10" s="353">
        <v>45370</v>
      </c>
      <c r="G10" s="277">
        <v>1500000</v>
      </c>
      <c r="H10" s="153">
        <v>45396</v>
      </c>
      <c r="I10" s="212" t="s">
        <v>26</v>
      </c>
      <c r="J10" s="213" t="s">
        <v>137</v>
      </c>
      <c r="K10" s="338"/>
      <c r="L10" s="338"/>
      <c r="M10" s="340"/>
    </row>
    <row r="11" spans="1:13" ht="85.5" customHeight="1" x14ac:dyDescent="0.2">
      <c r="A11" s="345"/>
      <c r="B11" s="350"/>
      <c r="C11" s="338"/>
      <c r="D11" s="352"/>
      <c r="E11" s="348"/>
      <c r="F11" s="354"/>
      <c r="G11" s="57">
        <v>800000</v>
      </c>
      <c r="H11" s="153">
        <v>45432</v>
      </c>
      <c r="I11" s="212" t="s">
        <v>26</v>
      </c>
      <c r="J11" s="214" t="s">
        <v>138</v>
      </c>
      <c r="K11" s="338"/>
      <c r="L11" s="338"/>
      <c r="M11" s="340"/>
    </row>
    <row r="12" spans="1:13" ht="69.95" customHeight="1" x14ac:dyDescent="0.2">
      <c r="A12" s="345"/>
      <c r="B12" s="350"/>
      <c r="C12" s="337"/>
      <c r="D12" s="347"/>
      <c r="E12" s="348"/>
      <c r="F12" s="346"/>
      <c r="G12" s="276">
        <v>592047.94999999995</v>
      </c>
      <c r="H12" s="211">
        <v>45467</v>
      </c>
      <c r="I12" s="212" t="s">
        <v>26</v>
      </c>
      <c r="J12" s="215" t="s">
        <v>139</v>
      </c>
      <c r="K12" s="338"/>
      <c r="L12" s="338"/>
      <c r="M12" s="340"/>
    </row>
    <row r="13" spans="1:13" ht="73.5" customHeight="1" x14ac:dyDescent="0.2">
      <c r="A13" s="345"/>
      <c r="B13" s="350"/>
      <c r="C13" s="355" t="s">
        <v>25</v>
      </c>
      <c r="D13" s="346">
        <v>696710.29</v>
      </c>
      <c r="E13" s="348"/>
      <c r="F13" s="216">
        <v>45487</v>
      </c>
      <c r="G13" s="163">
        <v>300000</v>
      </c>
      <c r="H13" s="216">
        <v>45565</v>
      </c>
      <c r="I13" s="163" t="s">
        <v>15</v>
      </c>
      <c r="J13" s="255" t="s">
        <v>252</v>
      </c>
      <c r="K13" s="338"/>
      <c r="L13" s="338"/>
      <c r="M13" s="340"/>
    </row>
    <row r="14" spans="1:13" ht="70.5" customHeight="1" x14ac:dyDescent="0.2">
      <c r="A14" s="345"/>
      <c r="B14" s="350"/>
      <c r="C14" s="331"/>
      <c r="D14" s="352"/>
      <c r="E14" s="348"/>
      <c r="F14" s="216">
        <v>45627</v>
      </c>
      <c r="G14" s="163">
        <v>396000</v>
      </c>
      <c r="H14" s="216">
        <v>45628</v>
      </c>
      <c r="I14" s="163" t="s">
        <v>15</v>
      </c>
      <c r="J14" s="255" t="s">
        <v>252</v>
      </c>
      <c r="K14" s="338"/>
      <c r="L14" s="338"/>
      <c r="M14" s="340"/>
    </row>
    <row r="15" spans="1:13" ht="134.44999999999999" customHeight="1" x14ac:dyDescent="0.2">
      <c r="A15" s="345"/>
      <c r="B15" s="350"/>
      <c r="C15" s="342" t="s">
        <v>251</v>
      </c>
      <c r="D15" s="346">
        <v>966845.31</v>
      </c>
      <c r="E15" s="348"/>
      <c r="F15" s="25"/>
      <c r="G15" s="276">
        <v>300000</v>
      </c>
      <c r="H15" s="216">
        <v>45659</v>
      </c>
      <c r="I15" s="163" t="s">
        <v>15</v>
      </c>
      <c r="J15" s="255" t="s">
        <v>252</v>
      </c>
      <c r="K15" s="338"/>
      <c r="L15" s="338"/>
      <c r="M15" s="340"/>
    </row>
    <row r="16" spans="1:13" ht="54.95" customHeight="1" x14ac:dyDescent="0.2">
      <c r="B16" s="351"/>
      <c r="C16" s="343"/>
      <c r="D16" s="347"/>
      <c r="E16" s="326"/>
      <c r="F16" s="25"/>
      <c r="G16" s="57">
        <v>500000</v>
      </c>
      <c r="H16" s="234">
        <v>45792</v>
      </c>
      <c r="I16" s="163" t="s">
        <v>15</v>
      </c>
      <c r="J16" s="255" t="s">
        <v>252</v>
      </c>
      <c r="K16" s="337"/>
      <c r="L16" s="337"/>
      <c r="M16" s="341"/>
    </row>
    <row r="17" spans="3:10" x14ac:dyDescent="0.2">
      <c r="C17" s="254"/>
    </row>
    <row r="18" spans="3:10" x14ac:dyDescent="0.2">
      <c r="C18" s="254"/>
      <c r="J18" s="172"/>
    </row>
  </sheetData>
  <mergeCells count="22">
    <mergeCell ref="B7:B16"/>
    <mergeCell ref="C10:C12"/>
    <mergeCell ref="D10:D12"/>
    <mergeCell ref="F10:F12"/>
    <mergeCell ref="D13:D14"/>
    <mergeCell ref="C13:C14"/>
    <mergeCell ref="A1:M2"/>
    <mergeCell ref="C3:M3"/>
    <mergeCell ref="D8:D9"/>
    <mergeCell ref="F8:F9"/>
    <mergeCell ref="G8:G9"/>
    <mergeCell ref="H8:H9"/>
    <mergeCell ref="I8:I9"/>
    <mergeCell ref="J8:J9"/>
    <mergeCell ref="C8:C9"/>
    <mergeCell ref="K7:K16"/>
    <mergeCell ref="L7:L16"/>
    <mergeCell ref="M7:M16"/>
    <mergeCell ref="C15:C16"/>
    <mergeCell ref="A7:A15"/>
    <mergeCell ref="D15:D16"/>
    <mergeCell ref="E7:E16"/>
  </mergeCells>
  <phoneticPr fontId="15" type="noConversion"/>
  <pageMargins left="0.25" right="2.63" top="0.75" bottom="0.75" header="0.3" footer="0.3"/>
  <pageSetup paperSize="9" scale="32" fitToHeight="0" orientation="landscape" horizontalDpi="300" verticalDpi="300" r:id="rId1"/>
  <colBreaks count="2" manualBreakCount="2">
    <brk id="9" max="1048575" man="1"/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18"/>
  <sheetViews>
    <sheetView topLeftCell="A3" zoomScale="86" zoomScaleNormal="100" zoomScaleSheetLayoutView="90" workbookViewId="0">
      <selection activeCell="E8" sqref="E8:E11"/>
    </sheetView>
  </sheetViews>
  <sheetFormatPr baseColWidth="10" defaultRowHeight="12.75" x14ac:dyDescent="0.2"/>
  <cols>
    <col min="2" max="2" width="15.1640625" customWidth="1"/>
    <col min="3" max="3" width="15.33203125" customWidth="1"/>
    <col min="4" max="4" width="16.33203125" customWidth="1"/>
    <col min="5" max="5" width="13.83203125" style="1" customWidth="1"/>
    <col min="6" max="6" width="14.83203125" style="1" customWidth="1"/>
    <col min="7" max="9" width="14.83203125" customWidth="1"/>
    <col min="10" max="10" width="14.6640625" style="1" customWidth="1"/>
    <col min="11" max="11" width="16" customWidth="1"/>
    <col min="13" max="13" width="17.6640625" customWidth="1"/>
    <col min="14" max="14" width="18" customWidth="1"/>
  </cols>
  <sheetData>
    <row r="1" spans="1:14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4" x14ac:dyDescent="0.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4" ht="23.1" customHeight="1" x14ac:dyDescent="0.2">
      <c r="A3" s="3"/>
      <c r="B3" s="3"/>
      <c r="C3" s="324" t="s">
        <v>33</v>
      </c>
      <c r="D3" s="324"/>
      <c r="E3" s="324"/>
      <c r="F3" s="324"/>
      <c r="G3" s="324"/>
      <c r="H3" s="324"/>
      <c r="I3" s="324"/>
      <c r="J3" s="324"/>
      <c r="K3" s="324"/>
    </row>
    <row r="4" spans="1:14" ht="25.5" customHeight="1" x14ac:dyDescent="0.2">
      <c r="A4" s="3"/>
      <c r="B4" s="3"/>
      <c r="C4" s="11" t="s">
        <v>34</v>
      </c>
      <c r="D4" s="11"/>
      <c r="E4" s="19"/>
      <c r="F4" s="18"/>
      <c r="G4" s="4"/>
      <c r="H4" s="4"/>
      <c r="I4" s="4"/>
      <c r="J4" s="18"/>
      <c r="K4" s="4"/>
    </row>
    <row r="5" spans="1:14" ht="25.5" customHeight="1" x14ac:dyDescent="0.2">
      <c r="A5" s="3"/>
      <c r="B5" s="368" t="s">
        <v>256</v>
      </c>
      <c r="C5" s="369"/>
      <c r="D5" s="369"/>
      <c r="E5" s="369"/>
      <c r="F5" s="18"/>
      <c r="G5" s="4"/>
      <c r="H5" s="4"/>
      <c r="I5" s="4"/>
      <c r="J5" s="18"/>
      <c r="K5" s="4"/>
    </row>
    <row r="7" spans="1:14" ht="60" x14ac:dyDescent="0.2">
      <c r="A7" s="220"/>
      <c r="B7" s="221" t="s">
        <v>31</v>
      </c>
      <c r="C7" s="221" t="s">
        <v>17</v>
      </c>
      <c r="D7" s="221" t="s">
        <v>21</v>
      </c>
      <c r="E7" s="217" t="s">
        <v>211</v>
      </c>
      <c r="F7" s="218" t="s">
        <v>19</v>
      </c>
      <c r="G7" s="218" t="s">
        <v>28</v>
      </c>
      <c r="H7" s="218" t="s">
        <v>38</v>
      </c>
      <c r="I7" s="219" t="s">
        <v>30</v>
      </c>
      <c r="J7" s="222" t="s">
        <v>32</v>
      </c>
      <c r="K7" s="222" t="s">
        <v>20</v>
      </c>
      <c r="L7" s="222" t="s">
        <v>27</v>
      </c>
      <c r="M7" s="223" t="s">
        <v>13</v>
      </c>
      <c r="N7" s="221" t="s">
        <v>160</v>
      </c>
    </row>
    <row r="8" spans="1:14" ht="40.5" customHeight="1" x14ac:dyDescent="0.2">
      <c r="A8" s="358" t="s">
        <v>35</v>
      </c>
      <c r="B8" s="357">
        <v>22174744.18</v>
      </c>
      <c r="C8" s="149" t="s">
        <v>49</v>
      </c>
      <c r="D8" s="360" t="s">
        <v>204</v>
      </c>
      <c r="E8" s="361" t="s">
        <v>0</v>
      </c>
      <c r="F8" s="360" t="s">
        <v>247</v>
      </c>
      <c r="G8" s="200">
        <v>6500000</v>
      </c>
      <c r="H8" s="54" t="s">
        <v>233</v>
      </c>
      <c r="I8" s="54" t="s">
        <v>233</v>
      </c>
      <c r="J8" s="201">
        <v>45139</v>
      </c>
      <c r="K8" s="360" t="s">
        <v>26</v>
      </c>
      <c r="L8" s="202">
        <v>4078480</v>
      </c>
      <c r="M8" s="356">
        <f>G8+G9+G10+G11</f>
        <v>10500000</v>
      </c>
      <c r="N8" s="357">
        <v>0</v>
      </c>
    </row>
    <row r="9" spans="1:14" ht="42" customHeight="1" x14ac:dyDescent="0.2">
      <c r="A9" s="359"/>
      <c r="B9" s="357"/>
      <c r="C9" s="149" t="s">
        <v>50</v>
      </c>
      <c r="D9" s="360"/>
      <c r="E9" s="362"/>
      <c r="F9" s="360"/>
      <c r="G9" s="200">
        <v>1000000</v>
      </c>
      <c r="H9" s="54" t="s">
        <v>233</v>
      </c>
      <c r="I9" s="54" t="s">
        <v>233</v>
      </c>
      <c r="J9" s="201">
        <v>45264</v>
      </c>
      <c r="K9" s="360"/>
      <c r="L9" s="203" t="s">
        <v>141</v>
      </c>
      <c r="M9" s="356"/>
      <c r="N9" s="357"/>
    </row>
    <row r="10" spans="1:14" ht="33" customHeight="1" x14ac:dyDescent="0.2">
      <c r="A10" s="359"/>
      <c r="B10" s="357"/>
      <c r="C10" s="149" t="s">
        <v>51</v>
      </c>
      <c r="D10" s="360"/>
      <c r="E10" s="362"/>
      <c r="F10" s="360"/>
      <c r="G10" s="200">
        <v>2000000</v>
      </c>
      <c r="H10" s="54" t="s">
        <v>233</v>
      </c>
      <c r="I10" s="54" t="s">
        <v>233</v>
      </c>
      <c r="J10" s="204">
        <v>45267</v>
      </c>
      <c r="K10" s="360"/>
      <c r="L10" s="202" t="s">
        <v>196</v>
      </c>
      <c r="M10" s="356"/>
      <c r="N10" s="357"/>
    </row>
    <row r="11" spans="1:14" ht="39.6" customHeight="1" x14ac:dyDescent="0.2">
      <c r="A11" s="359"/>
      <c r="B11" s="357"/>
      <c r="C11" s="149" t="s">
        <v>140</v>
      </c>
      <c r="D11" s="360"/>
      <c r="E11" s="362"/>
      <c r="F11" s="360"/>
      <c r="G11" s="200">
        <v>1000000</v>
      </c>
      <c r="H11" s="54" t="s">
        <v>233</v>
      </c>
      <c r="I11" s="54" t="s">
        <v>233</v>
      </c>
      <c r="J11" s="204">
        <v>45484</v>
      </c>
      <c r="K11" s="360"/>
      <c r="L11" s="203" t="s">
        <v>118</v>
      </c>
      <c r="M11" s="356"/>
      <c r="N11" s="357"/>
    </row>
    <row r="14" spans="1:14" ht="18.95" customHeight="1" x14ac:dyDescent="0.2">
      <c r="B14" s="363" t="s">
        <v>257</v>
      </c>
      <c r="C14" s="364"/>
      <c r="D14" s="364"/>
      <c r="E14" s="364"/>
    </row>
    <row r="16" spans="1:14" ht="29.1" customHeight="1" x14ac:dyDescent="0.2">
      <c r="A16" s="6"/>
      <c r="B16" s="221" t="s">
        <v>31</v>
      </c>
      <c r="C16" s="221" t="s">
        <v>17</v>
      </c>
      <c r="D16" s="221" t="s">
        <v>21</v>
      </c>
      <c r="E16" s="217" t="s">
        <v>211</v>
      </c>
      <c r="F16" s="218" t="s">
        <v>19</v>
      </c>
      <c r="G16" s="218" t="s">
        <v>28</v>
      </c>
      <c r="H16" s="218" t="s">
        <v>38</v>
      </c>
      <c r="I16" s="219" t="s">
        <v>30</v>
      </c>
      <c r="J16" s="222" t="s">
        <v>32</v>
      </c>
      <c r="K16" s="222" t="s">
        <v>20</v>
      </c>
      <c r="L16" s="222" t="s">
        <v>27</v>
      </c>
      <c r="M16" s="223" t="s">
        <v>13</v>
      </c>
      <c r="N16" s="221" t="s">
        <v>160</v>
      </c>
    </row>
    <row r="17" spans="1:14" ht="29.1" customHeight="1" x14ac:dyDescent="0.2">
      <c r="A17" s="361" t="s">
        <v>35</v>
      </c>
      <c r="B17" s="366"/>
      <c r="C17" s="25">
        <v>790160</v>
      </c>
      <c r="D17" s="6"/>
      <c r="E17" s="25"/>
      <c r="F17" s="25"/>
      <c r="G17" s="25">
        <v>270000</v>
      </c>
      <c r="H17" s="366"/>
      <c r="I17" s="6"/>
      <c r="J17" s="257">
        <v>45645</v>
      </c>
      <c r="K17" s="6"/>
      <c r="L17" s="6"/>
      <c r="M17" s="6"/>
      <c r="N17" s="6"/>
    </row>
    <row r="18" spans="1:14" ht="39.6" customHeight="1" x14ac:dyDescent="0.2">
      <c r="A18" s="365"/>
      <c r="B18" s="367"/>
      <c r="C18" s="6"/>
      <c r="D18" s="6"/>
      <c r="E18" s="25"/>
      <c r="F18" s="25"/>
      <c r="G18" s="6"/>
      <c r="H18" s="367"/>
      <c r="I18" s="6"/>
      <c r="J18" s="25"/>
      <c r="K18" s="6"/>
      <c r="L18" s="6"/>
      <c r="M18" s="6"/>
      <c r="N18" s="6"/>
    </row>
  </sheetData>
  <mergeCells count="15">
    <mergeCell ref="B14:E14"/>
    <mergeCell ref="A17:A18"/>
    <mergeCell ref="B17:B18"/>
    <mergeCell ref="H17:H18"/>
    <mergeCell ref="A1:K2"/>
    <mergeCell ref="C3:K3"/>
    <mergeCell ref="K8:K11"/>
    <mergeCell ref="B5:E5"/>
    <mergeCell ref="M8:M11"/>
    <mergeCell ref="N8:N11"/>
    <mergeCell ref="A8:A11"/>
    <mergeCell ref="B8:B11"/>
    <mergeCell ref="D8:D11"/>
    <mergeCell ref="E8:E11"/>
    <mergeCell ref="F8:F11"/>
  </mergeCells>
  <phoneticPr fontId="15" type="noConversion"/>
  <pageMargins left="0.25" right="0.25" top="0.75" bottom="0.75" header="0.3" footer="0.3"/>
  <pageSetup paperSize="9" scale="76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O16"/>
  <sheetViews>
    <sheetView topLeftCell="A2" zoomScale="70" zoomScaleNormal="70" zoomScaleSheetLayoutView="76" workbookViewId="0">
      <selection activeCell="C8" sqref="C8"/>
    </sheetView>
  </sheetViews>
  <sheetFormatPr baseColWidth="10" defaultRowHeight="12.75" x14ac:dyDescent="0.2"/>
  <cols>
    <col min="1" max="1" width="14.6640625" customWidth="1"/>
    <col min="2" max="2" width="18.33203125" customWidth="1"/>
    <col min="3" max="3" width="15.33203125" customWidth="1"/>
    <col min="4" max="4" width="16.33203125" style="1" customWidth="1"/>
    <col min="5" max="5" width="13.83203125" style="1" customWidth="1"/>
    <col min="6" max="7" width="17.1640625" style="1" customWidth="1"/>
    <col min="8" max="8" width="17.6640625" style="1" customWidth="1"/>
    <col min="9" max="12" width="14.83203125" customWidth="1"/>
    <col min="13" max="14" width="14.33203125" style="1" customWidth="1"/>
    <col min="15" max="15" width="16" customWidth="1"/>
  </cols>
  <sheetData>
    <row r="1" spans="1:15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</row>
    <row r="2" spans="1:15" x14ac:dyDescent="0.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</row>
    <row r="3" spans="1:15" ht="23.1" customHeight="1" x14ac:dyDescent="0.2">
      <c r="A3" s="3"/>
      <c r="B3" s="3"/>
      <c r="C3" s="324" t="s">
        <v>43</v>
      </c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O3" s="324"/>
    </row>
    <row r="4" spans="1:15" ht="25.5" customHeight="1" x14ac:dyDescent="0.2">
      <c r="A4" s="3"/>
      <c r="B4" s="3"/>
      <c r="C4" s="11" t="s">
        <v>40</v>
      </c>
      <c r="D4" s="30"/>
      <c r="E4" s="19"/>
      <c r="F4" s="18"/>
      <c r="G4" s="18"/>
      <c r="H4" s="18"/>
      <c r="I4" s="4"/>
      <c r="J4" s="4"/>
      <c r="K4" s="4"/>
      <c r="L4" s="4"/>
      <c r="M4" s="18"/>
      <c r="N4" s="18"/>
      <c r="O4" s="4"/>
    </row>
    <row r="5" spans="1:15" ht="52.5" customHeight="1" x14ac:dyDescent="0.25">
      <c r="A5" s="6"/>
      <c r="B5" s="61" t="s">
        <v>210</v>
      </c>
      <c r="C5" s="12" t="s">
        <v>17</v>
      </c>
      <c r="D5" s="262" t="s">
        <v>21</v>
      </c>
      <c r="E5" s="14" t="s">
        <v>19</v>
      </c>
      <c r="F5" s="205" t="s">
        <v>28</v>
      </c>
      <c r="G5" s="166" t="s">
        <v>38</v>
      </c>
      <c r="H5" s="167" t="s">
        <v>30</v>
      </c>
      <c r="I5" s="166" t="s">
        <v>32</v>
      </c>
      <c r="J5" s="14" t="s">
        <v>20</v>
      </c>
      <c r="K5" s="14" t="s">
        <v>27</v>
      </c>
      <c r="L5" s="14" t="s">
        <v>259</v>
      </c>
      <c r="M5" s="263" t="s">
        <v>13</v>
      </c>
      <c r="N5" s="263" t="s">
        <v>225</v>
      </c>
      <c r="O5" s="12" t="s">
        <v>160</v>
      </c>
    </row>
    <row r="6" spans="1:15" ht="25.5" customHeight="1" x14ac:dyDescent="0.2">
      <c r="A6" s="344" t="s">
        <v>44</v>
      </c>
      <c r="B6" s="386">
        <v>5606339.4400000004</v>
      </c>
      <c r="C6" s="377" t="s">
        <v>41</v>
      </c>
      <c r="D6" s="378">
        <v>2323788.5299999998</v>
      </c>
      <c r="E6" s="379">
        <v>45532</v>
      </c>
      <c r="F6" s="380">
        <v>0</v>
      </c>
      <c r="G6" s="380">
        <v>2323788.5299999998</v>
      </c>
      <c r="H6" s="381">
        <f>D6-G6</f>
        <v>0</v>
      </c>
      <c r="I6" s="382">
        <v>45326</v>
      </c>
      <c r="J6" s="385" t="s">
        <v>42</v>
      </c>
      <c r="K6" s="383" t="s">
        <v>142</v>
      </c>
      <c r="L6" s="388">
        <f>D6+D8+D9+D10</f>
        <v>5658196.6299999999</v>
      </c>
      <c r="M6" s="370">
        <f>G6+G8+G9+G10+G11</f>
        <v>5764940.4100000001</v>
      </c>
      <c r="N6" s="370">
        <v>285569.34999999998</v>
      </c>
      <c r="O6" s="373">
        <f>L6-M6</f>
        <v>-106743.78000000026</v>
      </c>
    </row>
    <row r="7" spans="1:15" ht="29.1" customHeight="1" x14ac:dyDescent="0.2">
      <c r="A7" s="345"/>
      <c r="B7" s="387"/>
      <c r="C7" s="377"/>
      <c r="D7" s="378"/>
      <c r="E7" s="379"/>
      <c r="F7" s="380"/>
      <c r="G7" s="380"/>
      <c r="H7" s="381"/>
      <c r="I7" s="382"/>
      <c r="J7" s="385"/>
      <c r="K7" s="384"/>
      <c r="L7" s="389"/>
      <c r="M7" s="371"/>
      <c r="N7" s="371"/>
      <c r="O7" s="374"/>
    </row>
    <row r="8" spans="1:15" ht="44.45" customHeight="1" x14ac:dyDescent="0.2">
      <c r="A8" s="345"/>
      <c r="B8" s="387"/>
      <c r="C8" s="34" t="s">
        <v>23</v>
      </c>
      <c r="D8" s="264">
        <v>1858029.62</v>
      </c>
      <c r="E8" s="165">
        <v>45351</v>
      </c>
      <c r="F8" s="264">
        <v>0</v>
      </c>
      <c r="G8" s="264">
        <v>1858029.62</v>
      </c>
      <c r="H8" s="38">
        <v>0</v>
      </c>
      <c r="I8" s="47" t="s">
        <v>48</v>
      </c>
      <c r="J8" s="385"/>
      <c r="K8" s="54" t="s">
        <v>143</v>
      </c>
      <c r="L8" s="389"/>
      <c r="M8" s="371"/>
      <c r="N8" s="371"/>
      <c r="O8" s="374"/>
    </row>
    <row r="9" spans="1:15" ht="35.450000000000003" customHeight="1" x14ac:dyDescent="0.2">
      <c r="A9" s="345"/>
      <c r="B9" s="387"/>
      <c r="C9" s="34" t="s">
        <v>24</v>
      </c>
      <c r="D9" s="264">
        <v>983122.26</v>
      </c>
      <c r="E9" s="165">
        <v>45411</v>
      </c>
      <c r="F9" s="264">
        <v>0</v>
      </c>
      <c r="G9" s="264">
        <v>983122.26</v>
      </c>
      <c r="H9" s="38">
        <v>0</v>
      </c>
      <c r="I9" s="265">
        <v>45467</v>
      </c>
      <c r="J9" s="385"/>
      <c r="K9" s="54" t="s">
        <v>144</v>
      </c>
      <c r="L9" s="389"/>
      <c r="M9" s="371"/>
      <c r="N9" s="371"/>
      <c r="O9" s="374"/>
    </row>
    <row r="10" spans="1:15" ht="48" customHeight="1" x14ac:dyDescent="0.2">
      <c r="A10" s="345"/>
      <c r="B10" s="387"/>
      <c r="C10" s="266" t="s">
        <v>146</v>
      </c>
      <c r="D10" s="264">
        <v>493256.22</v>
      </c>
      <c r="E10" s="165">
        <v>45453</v>
      </c>
      <c r="F10" s="38">
        <v>0</v>
      </c>
      <c r="G10" s="38">
        <v>350000</v>
      </c>
      <c r="H10" s="38">
        <f>D10-G10</f>
        <v>143256.21999999997</v>
      </c>
      <c r="I10" s="55">
        <v>45560</v>
      </c>
      <c r="J10" s="61" t="s">
        <v>205</v>
      </c>
      <c r="K10" s="9"/>
      <c r="L10" s="389"/>
      <c r="M10" s="371"/>
      <c r="N10" s="371"/>
      <c r="O10" s="374"/>
    </row>
    <row r="11" spans="1:15" ht="42" customHeight="1" x14ac:dyDescent="0.2">
      <c r="A11" s="345"/>
      <c r="B11" s="387"/>
      <c r="C11" s="122" t="s">
        <v>246</v>
      </c>
      <c r="D11" s="25"/>
      <c r="E11" s="60">
        <v>45657</v>
      </c>
      <c r="F11" s="25"/>
      <c r="G11" s="25">
        <v>250000</v>
      </c>
      <c r="H11" s="25"/>
      <c r="I11" s="6"/>
      <c r="J11" s="6"/>
      <c r="K11" s="6"/>
      <c r="L11" s="390"/>
      <c r="M11" s="372"/>
      <c r="N11" s="372"/>
      <c r="O11" s="375"/>
    </row>
    <row r="12" spans="1:15" ht="24.95" customHeight="1" x14ac:dyDescent="0.2">
      <c r="O12" s="2" t="s">
        <v>260</v>
      </c>
    </row>
    <row r="13" spans="1:15" ht="33.6" customHeight="1" x14ac:dyDescent="0.2">
      <c r="C13" s="376" t="s">
        <v>133</v>
      </c>
      <c r="D13" s="376"/>
      <c r="E13" s="376"/>
      <c r="F13" s="376"/>
      <c r="G13" s="376"/>
      <c r="H13" s="376"/>
    </row>
    <row r="14" spans="1:15" ht="77.45" customHeight="1" x14ac:dyDescent="0.2">
      <c r="A14" s="61" t="s">
        <v>44</v>
      </c>
      <c r="B14" s="61"/>
      <c r="C14" s="54" t="s">
        <v>49</v>
      </c>
      <c r="D14" s="59"/>
      <c r="E14" s="62" t="s">
        <v>145</v>
      </c>
      <c r="F14" s="26">
        <v>218600</v>
      </c>
      <c r="G14" s="26"/>
      <c r="H14" s="26"/>
      <c r="I14" s="60">
        <v>45532</v>
      </c>
      <c r="J14" s="54" t="s">
        <v>128</v>
      </c>
      <c r="K14" s="9"/>
      <c r="L14" s="9"/>
      <c r="M14" s="26"/>
      <c r="N14" s="26"/>
      <c r="O14" s="9"/>
    </row>
    <row r="16" spans="1:15" x14ac:dyDescent="0.2">
      <c r="G16" s="29" t="s">
        <v>0</v>
      </c>
    </row>
  </sheetData>
  <mergeCells count="18">
    <mergeCell ref="L6:L11"/>
    <mergeCell ref="M6:M11"/>
    <mergeCell ref="N6:N11"/>
    <mergeCell ref="O6:O11"/>
    <mergeCell ref="C13:H13"/>
    <mergeCell ref="A1:O2"/>
    <mergeCell ref="C3:O3"/>
    <mergeCell ref="C6:C7"/>
    <mergeCell ref="D6:D7"/>
    <mergeCell ref="E6:E7"/>
    <mergeCell ref="G6:G7"/>
    <mergeCell ref="H6:H7"/>
    <mergeCell ref="F6:F7"/>
    <mergeCell ref="I6:I7"/>
    <mergeCell ref="K6:K7"/>
    <mergeCell ref="J6:J9"/>
    <mergeCell ref="A6:A11"/>
    <mergeCell ref="B6:B11"/>
  </mergeCells>
  <phoneticPr fontId="15" type="noConversion"/>
  <pageMargins left="0.7" right="0.7" top="0.75" bottom="0.75" header="0.3" footer="0.3"/>
  <pageSetup paperSize="9" scale="62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0"/>
  <sheetViews>
    <sheetView zoomScaleNormal="100" workbookViewId="0">
      <selection activeCell="A7" sqref="A7:K10"/>
    </sheetView>
  </sheetViews>
  <sheetFormatPr baseColWidth="10" defaultRowHeight="12.75" x14ac:dyDescent="0.2"/>
  <cols>
    <col min="2" max="2" width="15.1640625" customWidth="1"/>
    <col min="3" max="3" width="15.33203125" customWidth="1"/>
    <col min="4" max="4" width="16.33203125" customWidth="1"/>
    <col min="5" max="5" width="13.83203125" style="1" customWidth="1"/>
    <col min="6" max="6" width="18.6640625" style="1" customWidth="1"/>
    <col min="7" max="7" width="14.83203125" style="1" customWidth="1"/>
    <col min="8" max="10" width="14.83203125" customWidth="1"/>
    <col min="11" max="11" width="12.6640625" style="1" customWidth="1"/>
  </cols>
  <sheetData>
    <row r="1" spans="1:11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x14ac:dyDescent="0.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</row>
    <row r="3" spans="1:11" ht="23.1" customHeight="1" x14ac:dyDescent="0.2">
      <c r="A3" s="3"/>
      <c r="B3" s="3"/>
      <c r="C3" s="324" t="s">
        <v>39</v>
      </c>
      <c r="D3" s="324"/>
      <c r="E3" s="324"/>
      <c r="F3" s="324"/>
      <c r="G3" s="324"/>
      <c r="H3" s="324"/>
      <c r="I3" s="324"/>
      <c r="J3" s="324"/>
      <c r="K3" s="324"/>
    </row>
    <row r="4" spans="1:11" ht="25.5" customHeight="1" x14ac:dyDescent="0.2">
      <c r="A4" s="3"/>
      <c r="B4" s="3"/>
      <c r="C4" s="11" t="s">
        <v>40</v>
      </c>
      <c r="D4" s="11"/>
      <c r="E4" s="19"/>
      <c r="F4" s="18"/>
      <c r="G4" s="18"/>
      <c r="H4" s="4"/>
      <c r="I4" s="4"/>
      <c r="J4" s="4"/>
      <c r="K4" s="18"/>
    </row>
    <row r="7" spans="1:11" ht="52.5" customHeight="1" x14ac:dyDescent="0.25">
      <c r="A7" s="396" t="s">
        <v>147</v>
      </c>
      <c r="B7" s="12" t="s">
        <v>31</v>
      </c>
      <c r="C7" s="12" t="s">
        <v>17</v>
      </c>
      <c r="D7" s="12" t="s">
        <v>21</v>
      </c>
      <c r="E7" s="14" t="s">
        <v>19</v>
      </c>
      <c r="F7" s="205" t="s">
        <v>28</v>
      </c>
      <c r="G7" s="164" t="s">
        <v>244</v>
      </c>
      <c r="H7" s="166" t="s">
        <v>32</v>
      </c>
      <c r="I7" s="14" t="s">
        <v>20</v>
      </c>
      <c r="J7" s="14" t="s">
        <v>27</v>
      </c>
      <c r="K7" s="15" t="s">
        <v>245</v>
      </c>
    </row>
    <row r="8" spans="1:11" ht="29.1" customHeight="1" x14ac:dyDescent="0.2">
      <c r="A8" s="397"/>
      <c r="B8" s="370">
        <v>11196242.380000001</v>
      </c>
      <c r="C8" s="370" t="s">
        <v>18</v>
      </c>
      <c r="D8" s="391">
        <v>2371632.88</v>
      </c>
      <c r="E8" s="393">
        <v>45361</v>
      </c>
      <c r="F8" s="33">
        <v>1500000</v>
      </c>
      <c r="G8" s="377">
        <f>F8+F9+F10</f>
        <v>2621632.88</v>
      </c>
      <c r="H8" s="23">
        <v>45375</v>
      </c>
      <c r="I8" s="22" t="s">
        <v>45</v>
      </c>
      <c r="J8" s="22" t="s">
        <v>149</v>
      </c>
      <c r="K8" s="370">
        <f>D8-G8</f>
        <v>-250000</v>
      </c>
    </row>
    <row r="9" spans="1:11" ht="25.5" customHeight="1" x14ac:dyDescent="0.2">
      <c r="A9" s="397"/>
      <c r="B9" s="371"/>
      <c r="C9" s="371"/>
      <c r="D9" s="392"/>
      <c r="E9" s="393"/>
      <c r="F9" s="27">
        <v>871632.88</v>
      </c>
      <c r="G9" s="377"/>
      <c r="H9" s="23">
        <v>45396</v>
      </c>
      <c r="I9" s="22" t="s">
        <v>45</v>
      </c>
      <c r="J9" s="54" t="s">
        <v>148</v>
      </c>
      <c r="K9" s="371"/>
    </row>
    <row r="10" spans="1:11" ht="29.1" customHeight="1" x14ac:dyDescent="0.2">
      <c r="A10" s="397"/>
      <c r="B10" s="372"/>
      <c r="C10" s="372"/>
      <c r="D10" s="394" t="s">
        <v>246</v>
      </c>
      <c r="E10" s="395"/>
      <c r="F10" s="98">
        <v>250000</v>
      </c>
      <c r="G10" s="377"/>
      <c r="H10" s="58">
        <v>45657</v>
      </c>
      <c r="I10" s="54" t="s">
        <v>128</v>
      </c>
      <c r="J10" s="54" t="s">
        <v>233</v>
      </c>
      <c r="K10" s="372"/>
    </row>
  </sheetData>
  <mergeCells count="10">
    <mergeCell ref="K8:K10"/>
    <mergeCell ref="D8:D9"/>
    <mergeCell ref="E8:E9"/>
    <mergeCell ref="A1:K2"/>
    <mergeCell ref="C3:K3"/>
    <mergeCell ref="G8:G10"/>
    <mergeCell ref="B8:B10"/>
    <mergeCell ref="C8:C10"/>
    <mergeCell ref="D10:E10"/>
    <mergeCell ref="A7:A10"/>
  </mergeCells>
  <pageMargins left="0.25" right="0.25" top="0.75" bottom="0.75" header="0.3" footer="0.3"/>
  <pageSetup paperSize="9" scale="98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"/>
  <sheetViews>
    <sheetView view="pageBreakPreview" zoomScale="60" zoomScaleNormal="70" workbookViewId="0">
      <selection activeCell="M11" sqref="M11"/>
    </sheetView>
  </sheetViews>
  <sheetFormatPr baseColWidth="10" defaultRowHeight="12.75" x14ac:dyDescent="0.2"/>
  <cols>
    <col min="2" max="2" width="15.1640625" customWidth="1"/>
    <col min="3" max="3" width="15.33203125" customWidth="1"/>
    <col min="4" max="4" width="16.33203125" customWidth="1"/>
    <col min="5" max="5" width="13.83203125" style="1" customWidth="1"/>
    <col min="6" max="6" width="17.1640625" style="1" customWidth="1"/>
    <col min="7" max="7" width="14.83203125" style="1" customWidth="1"/>
    <col min="8" max="10" width="14.83203125" customWidth="1"/>
    <col min="11" max="12" width="15.6640625" style="1" customWidth="1"/>
    <col min="13" max="13" width="16" customWidth="1"/>
    <col min="14" max="14" width="19.1640625" customWidth="1"/>
  </cols>
  <sheetData>
    <row r="1" spans="1:15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</row>
    <row r="2" spans="1:15" x14ac:dyDescent="0.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</row>
    <row r="3" spans="1:15" ht="23.1" customHeight="1" x14ac:dyDescent="0.2">
      <c r="A3" s="3"/>
      <c r="B3" s="3"/>
      <c r="C3" s="324" t="s">
        <v>107</v>
      </c>
      <c r="D3" s="324"/>
      <c r="E3" s="324"/>
      <c r="F3" s="324"/>
      <c r="G3" s="324"/>
      <c r="H3" s="324"/>
      <c r="I3" s="324"/>
      <c r="J3" s="324"/>
      <c r="K3" s="324"/>
      <c r="L3" s="324"/>
      <c r="M3" s="324"/>
    </row>
    <row r="4" spans="1:15" ht="25.5" customHeight="1" x14ac:dyDescent="0.2">
      <c r="A4" s="3"/>
      <c r="B4" s="3"/>
      <c r="C4" s="11" t="s">
        <v>108</v>
      </c>
      <c r="D4" s="11"/>
      <c r="E4" s="19"/>
      <c r="F4" s="18"/>
      <c r="G4" s="18"/>
      <c r="H4" s="4"/>
      <c r="I4" s="4"/>
      <c r="J4" s="4"/>
      <c r="K4" s="18"/>
      <c r="L4" s="18"/>
      <c r="M4" s="4"/>
    </row>
    <row r="5" spans="1:15" x14ac:dyDescent="0.2">
      <c r="E5" s="29" t="s">
        <v>0</v>
      </c>
    </row>
    <row r="7" spans="1:15" ht="52.5" customHeight="1" x14ac:dyDescent="0.2">
      <c r="A7" s="6"/>
      <c r="B7" s="28" t="s">
        <v>31</v>
      </c>
      <c r="C7" s="28" t="s">
        <v>17</v>
      </c>
      <c r="D7" s="28" t="s">
        <v>21</v>
      </c>
      <c r="E7" s="64" t="s">
        <v>19</v>
      </c>
      <c r="F7" s="64" t="s">
        <v>278</v>
      </c>
      <c r="G7" s="65" t="s">
        <v>30</v>
      </c>
      <c r="H7" s="64" t="s">
        <v>32</v>
      </c>
      <c r="I7" s="64" t="s">
        <v>20</v>
      </c>
      <c r="J7" s="64" t="s">
        <v>27</v>
      </c>
      <c r="K7" s="66" t="s">
        <v>13</v>
      </c>
      <c r="L7" s="66" t="s">
        <v>277</v>
      </c>
      <c r="M7" s="28" t="s">
        <v>29</v>
      </c>
      <c r="N7" s="66" t="s">
        <v>154</v>
      </c>
    </row>
    <row r="8" spans="1:15" ht="30" customHeight="1" x14ac:dyDescent="0.2">
      <c r="A8" s="399" t="s">
        <v>106</v>
      </c>
      <c r="B8" s="401">
        <v>1751085</v>
      </c>
      <c r="C8" s="34" t="s">
        <v>18</v>
      </c>
      <c r="D8" s="27">
        <v>741636</v>
      </c>
      <c r="E8" s="23">
        <v>45301</v>
      </c>
      <c r="F8" s="391">
        <f>D8+D9+D10</f>
        <v>1739640</v>
      </c>
      <c r="G8" s="35">
        <v>0</v>
      </c>
      <c r="H8" s="23">
        <v>45326</v>
      </c>
      <c r="I8" s="403" t="s">
        <v>42</v>
      </c>
      <c r="J8" s="22" t="s">
        <v>151</v>
      </c>
      <c r="K8" s="401">
        <f>D8+D9+D10</f>
        <v>1739640</v>
      </c>
      <c r="L8" s="406">
        <v>86982</v>
      </c>
      <c r="M8" s="402">
        <f>F8-K8</f>
        <v>0</v>
      </c>
      <c r="N8" s="398" t="s">
        <v>155</v>
      </c>
    </row>
    <row r="9" spans="1:15" ht="29.1" customHeight="1" x14ac:dyDescent="0.2">
      <c r="A9" s="400"/>
      <c r="B9" s="401"/>
      <c r="C9" s="24" t="s">
        <v>23</v>
      </c>
      <c r="D9" s="27">
        <v>370818</v>
      </c>
      <c r="E9" s="23">
        <v>45305</v>
      </c>
      <c r="F9" s="409"/>
      <c r="G9" s="21">
        <v>0</v>
      </c>
      <c r="H9" s="23">
        <v>45326</v>
      </c>
      <c r="I9" s="404"/>
      <c r="J9" s="39" t="s">
        <v>152</v>
      </c>
      <c r="K9" s="401"/>
      <c r="L9" s="407"/>
      <c r="M9" s="402"/>
      <c r="N9" s="398"/>
    </row>
    <row r="10" spans="1:15" ht="47.1" customHeight="1" x14ac:dyDescent="0.2">
      <c r="A10" s="400"/>
      <c r="B10" s="401"/>
      <c r="C10" s="63" t="s">
        <v>150</v>
      </c>
      <c r="D10" s="27">
        <v>627186</v>
      </c>
      <c r="E10" s="23">
        <v>45397</v>
      </c>
      <c r="F10" s="392"/>
      <c r="G10" s="21">
        <v>0</v>
      </c>
      <c r="H10" s="23">
        <v>45432</v>
      </c>
      <c r="I10" s="405"/>
      <c r="J10" s="54" t="s">
        <v>153</v>
      </c>
      <c r="K10" s="401"/>
      <c r="L10" s="408"/>
      <c r="M10" s="402"/>
      <c r="N10" s="398"/>
      <c r="O10" s="67"/>
    </row>
  </sheetData>
  <mergeCells count="10">
    <mergeCell ref="N8:N10"/>
    <mergeCell ref="A1:M2"/>
    <mergeCell ref="C3:M3"/>
    <mergeCell ref="A8:A10"/>
    <mergeCell ref="B8:B10"/>
    <mergeCell ref="K8:K10"/>
    <mergeCell ref="M8:M10"/>
    <mergeCell ref="I8:I10"/>
    <mergeCell ref="L8:L10"/>
    <mergeCell ref="F8:F10"/>
  </mergeCells>
  <pageMargins left="0.7" right="0.7" top="0.75" bottom="0.75" header="0.3" footer="0.3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3"/>
  <sheetViews>
    <sheetView view="pageBreakPreview" zoomScale="60" zoomScaleNormal="100" workbookViewId="0">
      <selection activeCell="B11" sqref="B11:B12"/>
    </sheetView>
  </sheetViews>
  <sheetFormatPr baseColWidth="10" defaultRowHeight="12.75" x14ac:dyDescent="0.2"/>
  <cols>
    <col min="2" max="2" width="15.1640625" customWidth="1"/>
    <col min="3" max="3" width="15.33203125" customWidth="1"/>
    <col min="4" max="4" width="16.33203125" style="1" customWidth="1"/>
    <col min="5" max="5" width="13.83203125" style="1" customWidth="1"/>
    <col min="6" max="6" width="17.1640625" style="1" customWidth="1"/>
    <col min="7" max="7" width="14.83203125" style="1" customWidth="1"/>
    <col min="8" max="10" width="14.83203125" customWidth="1"/>
    <col min="11" max="11" width="12.6640625" style="1" customWidth="1"/>
    <col min="12" max="12" width="16" customWidth="1"/>
    <col min="13" max="13" width="15.33203125" customWidth="1"/>
  </cols>
  <sheetData>
    <row r="1" spans="1:14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</row>
    <row r="2" spans="1:14" x14ac:dyDescent="0.2">
      <c r="A2" s="323"/>
      <c r="B2" s="323"/>
      <c r="C2" s="323"/>
      <c r="D2" s="323"/>
      <c r="E2" s="323"/>
      <c r="F2" s="323"/>
      <c r="G2" s="323"/>
      <c r="H2" s="323"/>
      <c r="I2" s="323"/>
      <c r="J2" s="323"/>
      <c r="K2" s="323"/>
      <c r="L2" s="323"/>
    </row>
    <row r="3" spans="1:14" ht="23.1" customHeight="1" x14ac:dyDescent="0.2">
      <c r="A3" s="3"/>
      <c r="B3" s="3"/>
      <c r="C3" s="324" t="s">
        <v>172</v>
      </c>
      <c r="D3" s="324"/>
      <c r="E3" s="324"/>
      <c r="F3" s="324"/>
      <c r="G3" s="324"/>
      <c r="H3" s="324"/>
      <c r="I3" s="324"/>
      <c r="J3" s="324"/>
      <c r="K3" s="324"/>
      <c r="L3" s="324"/>
    </row>
    <row r="4" spans="1:14" ht="25.5" customHeight="1" x14ac:dyDescent="0.2">
      <c r="A4" s="3"/>
      <c r="B4" s="3"/>
      <c r="C4" s="11" t="s">
        <v>173</v>
      </c>
      <c r="D4" s="30"/>
      <c r="E4" s="19"/>
      <c r="F4" s="18"/>
      <c r="G4" s="18"/>
      <c r="H4" s="4"/>
      <c r="I4" s="4"/>
      <c r="J4" s="4"/>
      <c r="K4" s="18"/>
      <c r="L4" s="4"/>
    </row>
    <row r="5" spans="1:14" x14ac:dyDescent="0.2">
      <c r="E5" s="29" t="s">
        <v>0</v>
      </c>
    </row>
    <row r="7" spans="1:14" ht="52.5" customHeight="1" x14ac:dyDescent="0.2">
      <c r="A7" s="6"/>
      <c r="B7" s="28" t="s">
        <v>31</v>
      </c>
      <c r="C7" s="28" t="s">
        <v>17</v>
      </c>
      <c r="D7" s="31" t="s">
        <v>21</v>
      </c>
      <c r="E7" s="64" t="s">
        <v>19</v>
      </c>
      <c r="F7" s="64" t="s">
        <v>28</v>
      </c>
      <c r="G7" s="65" t="s">
        <v>30</v>
      </c>
      <c r="H7" s="64" t="s">
        <v>32</v>
      </c>
      <c r="I7" s="64" t="s">
        <v>20</v>
      </c>
      <c r="J7" s="64" t="s">
        <v>27</v>
      </c>
      <c r="K7" s="66" t="s">
        <v>13</v>
      </c>
      <c r="L7" s="28" t="s">
        <v>29</v>
      </c>
      <c r="M7" s="66" t="s">
        <v>154</v>
      </c>
    </row>
    <row r="8" spans="1:14" ht="30" customHeight="1" x14ac:dyDescent="0.2">
      <c r="A8" s="399" t="s">
        <v>223</v>
      </c>
      <c r="B8" s="401"/>
      <c r="C8" s="99" t="s">
        <v>18</v>
      </c>
      <c r="D8" s="105">
        <v>1601384.4</v>
      </c>
      <c r="E8" s="23">
        <v>45301</v>
      </c>
      <c r="F8" s="27">
        <v>0</v>
      </c>
      <c r="G8" s="35">
        <v>0</v>
      </c>
      <c r="H8" s="81">
        <v>44933</v>
      </c>
      <c r="I8" s="403" t="s">
        <v>42</v>
      </c>
      <c r="J8" s="82" t="s">
        <v>175</v>
      </c>
      <c r="K8" s="401">
        <f>D8+D9+D10</f>
        <v>5345258.88</v>
      </c>
      <c r="L8" s="402">
        <v>0</v>
      </c>
      <c r="M8" s="398"/>
    </row>
    <row r="9" spans="1:14" ht="29.1" customHeight="1" x14ac:dyDescent="0.2">
      <c r="A9" s="400"/>
      <c r="B9" s="401"/>
      <c r="C9" s="100" t="s">
        <v>23</v>
      </c>
      <c r="D9" s="105">
        <v>1689772.5</v>
      </c>
      <c r="E9" s="23">
        <v>45305</v>
      </c>
      <c r="F9" s="27">
        <v>0</v>
      </c>
      <c r="G9" s="21">
        <v>0</v>
      </c>
      <c r="H9" s="81">
        <v>45638</v>
      </c>
      <c r="I9" s="404"/>
      <c r="J9" s="82" t="s">
        <v>122</v>
      </c>
      <c r="K9" s="401"/>
      <c r="L9" s="402"/>
      <c r="M9" s="398"/>
    </row>
    <row r="10" spans="1:14" ht="47.1" customHeight="1" x14ac:dyDescent="0.2">
      <c r="A10" s="400"/>
      <c r="B10" s="401"/>
      <c r="C10" s="101" t="s">
        <v>150</v>
      </c>
      <c r="D10" s="106">
        <v>2054101.98</v>
      </c>
      <c r="E10" s="23">
        <v>45397</v>
      </c>
      <c r="F10" s="27">
        <v>0</v>
      </c>
      <c r="G10" s="21">
        <v>0</v>
      </c>
      <c r="H10" s="81">
        <v>45326</v>
      </c>
      <c r="I10" s="405"/>
      <c r="J10" s="82" t="s">
        <v>121</v>
      </c>
      <c r="K10" s="401"/>
      <c r="L10" s="402"/>
      <c r="M10" s="398"/>
      <c r="N10" s="67"/>
    </row>
    <row r="15" spans="1:14" x14ac:dyDescent="0.2">
      <c r="D15" s="107"/>
      <c r="E15" s="102"/>
    </row>
    <row r="17" spans="5:6" x14ac:dyDescent="0.2">
      <c r="E17" s="102"/>
    </row>
    <row r="23" spans="5:6" x14ac:dyDescent="0.2">
      <c r="F23" s="102"/>
    </row>
  </sheetData>
  <mergeCells count="8">
    <mergeCell ref="M8:M10"/>
    <mergeCell ref="A1:L2"/>
    <mergeCell ref="C3:L3"/>
    <mergeCell ref="A8:A10"/>
    <mergeCell ref="B8:B10"/>
    <mergeCell ref="I8:I10"/>
    <mergeCell ref="K8:K10"/>
    <mergeCell ref="L8:L10"/>
  </mergeCells>
  <pageMargins left="0.7" right="0.7" top="0.75" bottom="0.75" header="0.3" footer="0.3"/>
  <pageSetup paperSize="9" scale="76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30"/>
  <sheetViews>
    <sheetView view="pageBreakPreview" topLeftCell="A4" zoomScale="73" zoomScaleNormal="76" zoomScaleSheetLayoutView="100" workbookViewId="0">
      <selection activeCell="I25" sqref="I25"/>
    </sheetView>
  </sheetViews>
  <sheetFormatPr baseColWidth="10" defaultRowHeight="12.75" x14ac:dyDescent="0.2"/>
  <cols>
    <col min="5" max="5" width="15.6640625" customWidth="1"/>
    <col min="6" max="6" width="14.83203125" customWidth="1"/>
    <col min="7" max="7" width="25.1640625" customWidth="1"/>
    <col min="8" max="8" width="20.1640625" customWidth="1"/>
    <col min="9" max="9" width="22.1640625" customWidth="1"/>
    <col min="10" max="10" width="20" customWidth="1"/>
    <col min="11" max="11" width="20.33203125" customWidth="1"/>
  </cols>
  <sheetData>
    <row r="1" spans="1:11" ht="18.75" x14ac:dyDescent="0.2">
      <c r="F1" s="415" t="s">
        <v>215</v>
      </c>
      <c r="G1" s="415"/>
      <c r="H1" s="415"/>
    </row>
    <row r="2" spans="1:1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25.5" x14ac:dyDescent="0.2">
      <c r="A3" s="4"/>
      <c r="B3" s="70"/>
      <c r="C3" s="71" t="s">
        <v>94</v>
      </c>
      <c r="D3" s="71" t="s">
        <v>95</v>
      </c>
      <c r="E3" s="70" t="s">
        <v>96</v>
      </c>
      <c r="F3" s="72" t="s">
        <v>97</v>
      </c>
      <c r="G3" s="73" t="s">
        <v>98</v>
      </c>
      <c r="H3" s="68" t="s">
        <v>93</v>
      </c>
      <c r="I3" s="40" t="s">
        <v>156</v>
      </c>
      <c r="J3" s="40" t="s">
        <v>157</v>
      </c>
      <c r="K3" s="74" t="s">
        <v>158</v>
      </c>
    </row>
    <row r="4" spans="1:11" ht="15" x14ac:dyDescent="0.25">
      <c r="A4" s="4"/>
      <c r="B4" s="9">
        <v>1</v>
      </c>
      <c r="C4" s="83">
        <v>23012198</v>
      </c>
      <c r="D4" s="84">
        <v>5079110</v>
      </c>
      <c r="E4" s="85">
        <v>45230</v>
      </c>
      <c r="F4" s="42">
        <v>2598225.08</v>
      </c>
      <c r="G4" s="43">
        <v>2832065.34</v>
      </c>
      <c r="H4" s="41">
        <v>45221</v>
      </c>
      <c r="I4" s="123" t="s">
        <v>162</v>
      </c>
      <c r="J4" s="124" t="s">
        <v>159</v>
      </c>
      <c r="K4" s="125">
        <v>3135971.39</v>
      </c>
    </row>
    <row r="5" spans="1:11" ht="15" x14ac:dyDescent="0.25">
      <c r="A5" s="4"/>
      <c r="B5" s="9">
        <v>2</v>
      </c>
      <c r="C5" s="83">
        <v>23012197</v>
      </c>
      <c r="D5" s="84">
        <v>5079158</v>
      </c>
      <c r="E5" s="85">
        <v>45230</v>
      </c>
      <c r="F5" s="42">
        <v>2808650.85</v>
      </c>
      <c r="G5" s="43">
        <v>3061429.43</v>
      </c>
      <c r="H5" s="41">
        <v>45270</v>
      </c>
      <c r="I5" s="123" t="s">
        <v>163</v>
      </c>
      <c r="J5" s="124" t="s">
        <v>159</v>
      </c>
      <c r="K5" s="125">
        <v>2000000</v>
      </c>
    </row>
    <row r="6" spans="1:11" ht="15" x14ac:dyDescent="0.25">
      <c r="A6" s="4"/>
      <c r="B6" s="9">
        <v>3</v>
      </c>
      <c r="C6" s="83">
        <v>23012408</v>
      </c>
      <c r="D6" s="84">
        <v>5079399</v>
      </c>
      <c r="E6" s="85">
        <v>45251</v>
      </c>
      <c r="F6" s="42">
        <v>347200</v>
      </c>
      <c r="G6" s="43">
        <v>378448</v>
      </c>
      <c r="H6" s="41">
        <v>45279</v>
      </c>
      <c r="I6" s="123" t="s">
        <v>164</v>
      </c>
      <c r="J6" s="124" t="s">
        <v>159</v>
      </c>
      <c r="K6" s="125">
        <v>1695540.03</v>
      </c>
    </row>
    <row r="7" spans="1:11" ht="15" x14ac:dyDescent="0.25">
      <c r="A7" s="4"/>
      <c r="B7" s="9">
        <v>4</v>
      </c>
      <c r="C7" s="83">
        <v>23013434</v>
      </c>
      <c r="D7" s="84">
        <v>5081252</v>
      </c>
      <c r="E7" s="85">
        <v>45287</v>
      </c>
      <c r="F7" s="42">
        <v>2420677.7799999998</v>
      </c>
      <c r="G7" s="43">
        <v>2638538.7799999998</v>
      </c>
      <c r="H7" s="41">
        <v>45294</v>
      </c>
      <c r="I7" s="123" t="s">
        <v>165</v>
      </c>
      <c r="J7" s="124" t="s">
        <v>159</v>
      </c>
      <c r="K7" s="125">
        <v>2647557.94</v>
      </c>
    </row>
    <row r="8" spans="1:11" ht="15" x14ac:dyDescent="0.25">
      <c r="A8" s="4"/>
      <c r="B8" s="9">
        <v>5</v>
      </c>
      <c r="C8" s="83">
        <v>23013476</v>
      </c>
      <c r="D8" s="84">
        <v>5081327</v>
      </c>
      <c r="E8" s="85">
        <v>45287</v>
      </c>
      <c r="F8" s="42">
        <v>2507101</v>
      </c>
      <c r="G8" s="43">
        <v>2732740.09</v>
      </c>
      <c r="H8" s="41">
        <v>45263</v>
      </c>
      <c r="I8" s="123" t="s">
        <v>202</v>
      </c>
      <c r="J8" s="124" t="s">
        <v>160</v>
      </c>
      <c r="K8" s="125">
        <v>2822374.24</v>
      </c>
    </row>
    <row r="9" spans="1:11" ht="15" x14ac:dyDescent="0.25">
      <c r="A9" s="4"/>
      <c r="B9" s="9">
        <v>6</v>
      </c>
      <c r="C9" s="83">
        <v>23013610</v>
      </c>
      <c r="D9" s="84">
        <v>5081374</v>
      </c>
      <c r="E9" s="85">
        <v>45289</v>
      </c>
      <c r="F9" s="42">
        <v>1008269.73</v>
      </c>
      <c r="G9" s="43">
        <v>1099014.01</v>
      </c>
      <c r="H9" s="41">
        <v>45326</v>
      </c>
      <c r="I9" s="123" t="s">
        <v>166</v>
      </c>
      <c r="J9" s="124" t="s">
        <v>159</v>
      </c>
      <c r="K9" s="125">
        <v>3000000</v>
      </c>
    </row>
    <row r="10" spans="1:11" ht="15" x14ac:dyDescent="0.25">
      <c r="A10" s="4"/>
      <c r="B10" s="9">
        <v>7</v>
      </c>
      <c r="C10" s="83">
        <v>23013611</v>
      </c>
      <c r="D10" s="84">
        <v>5081214</v>
      </c>
      <c r="E10" s="85">
        <v>45289</v>
      </c>
      <c r="F10" s="42">
        <v>844758.89</v>
      </c>
      <c r="G10" s="43">
        <v>920787.19</v>
      </c>
      <c r="H10" s="41">
        <v>45342</v>
      </c>
      <c r="I10" s="123" t="s">
        <v>167</v>
      </c>
      <c r="J10" s="124" t="s">
        <v>160</v>
      </c>
      <c r="K10" s="125">
        <v>4000000</v>
      </c>
    </row>
    <row r="11" spans="1:11" ht="15" x14ac:dyDescent="0.25">
      <c r="A11" s="4"/>
      <c r="B11" s="9">
        <v>8</v>
      </c>
      <c r="C11" s="83">
        <v>24000423</v>
      </c>
      <c r="D11" s="84">
        <v>5082282</v>
      </c>
      <c r="E11" s="85">
        <v>45322</v>
      </c>
      <c r="F11" s="42">
        <v>2347055.4500000002</v>
      </c>
      <c r="G11" s="43">
        <v>2558290.44</v>
      </c>
      <c r="H11" s="41">
        <v>45348</v>
      </c>
      <c r="I11" s="123" t="s">
        <v>168</v>
      </c>
      <c r="J11" s="124" t="s">
        <v>160</v>
      </c>
      <c r="K11" s="125">
        <v>3000000</v>
      </c>
    </row>
    <row r="12" spans="1:11" ht="15" x14ac:dyDescent="0.25">
      <c r="A12" s="4"/>
      <c r="B12" s="9">
        <v>9</v>
      </c>
      <c r="C12" s="83">
        <v>24000424</v>
      </c>
      <c r="D12" s="84">
        <v>5082410</v>
      </c>
      <c r="E12" s="85">
        <v>45322</v>
      </c>
      <c r="F12" s="42">
        <v>2497547.58</v>
      </c>
      <c r="G12" s="43">
        <v>2722326.86</v>
      </c>
      <c r="H12" s="41">
        <v>45390</v>
      </c>
      <c r="I12" s="123" t="s">
        <v>169</v>
      </c>
      <c r="J12" s="124" t="s">
        <v>160</v>
      </c>
      <c r="K12" s="125">
        <v>4000000</v>
      </c>
    </row>
    <row r="13" spans="1:11" ht="15" x14ac:dyDescent="0.25">
      <c r="A13" s="4"/>
      <c r="B13" s="9">
        <v>10</v>
      </c>
      <c r="C13" s="83">
        <v>24001746</v>
      </c>
      <c r="D13" s="84">
        <v>5082894</v>
      </c>
      <c r="E13" s="85">
        <v>45370</v>
      </c>
      <c r="F13" s="42">
        <v>2655008.6800000002</v>
      </c>
      <c r="G13" s="43">
        <v>2893959.46</v>
      </c>
      <c r="H13" s="41">
        <v>45411</v>
      </c>
      <c r="I13" s="126" t="s">
        <v>170</v>
      </c>
      <c r="J13" s="124" t="s">
        <v>161</v>
      </c>
      <c r="K13" s="125" t="s">
        <v>99</v>
      </c>
    </row>
    <row r="14" spans="1:11" ht="15" x14ac:dyDescent="0.25">
      <c r="A14" s="4"/>
      <c r="B14" s="9">
        <v>11</v>
      </c>
      <c r="C14" s="83">
        <v>24001751</v>
      </c>
      <c r="D14" s="84">
        <v>5083324</v>
      </c>
      <c r="E14" s="85">
        <v>45370</v>
      </c>
      <c r="F14" s="42">
        <v>3382644.7</v>
      </c>
      <c r="G14" s="43">
        <v>3687082.72</v>
      </c>
      <c r="H14" s="41">
        <v>45438</v>
      </c>
      <c r="I14" s="123" t="s">
        <v>174</v>
      </c>
      <c r="J14" s="124" t="s">
        <v>159</v>
      </c>
      <c r="K14" s="125">
        <v>879976.81</v>
      </c>
    </row>
    <row r="15" spans="1:11" ht="15" x14ac:dyDescent="0.25">
      <c r="A15" s="4"/>
      <c r="B15" s="9">
        <v>12</v>
      </c>
      <c r="C15" s="83">
        <v>24001972</v>
      </c>
      <c r="D15" s="84">
        <v>5083985</v>
      </c>
      <c r="E15" s="85">
        <v>45378</v>
      </c>
      <c r="F15" s="42">
        <v>2680155.5299999998</v>
      </c>
      <c r="G15" s="43">
        <v>2921369.53</v>
      </c>
      <c r="H15" s="41">
        <v>45467</v>
      </c>
      <c r="I15" s="123" t="s">
        <v>171</v>
      </c>
      <c r="J15" s="124"/>
      <c r="K15" s="127">
        <v>1500000</v>
      </c>
    </row>
    <row r="16" spans="1:11" ht="15" x14ac:dyDescent="0.25">
      <c r="A16" s="4"/>
      <c r="B16" s="9">
        <v>13</v>
      </c>
      <c r="C16" s="83">
        <v>24002690</v>
      </c>
      <c r="D16" s="84">
        <v>5087480</v>
      </c>
      <c r="E16" s="85">
        <v>45412</v>
      </c>
      <c r="F16" s="42">
        <v>807318.17</v>
      </c>
      <c r="G16" s="43">
        <v>879976.81</v>
      </c>
      <c r="H16" s="41"/>
      <c r="I16" s="123"/>
      <c r="J16" s="124"/>
      <c r="K16" s="125"/>
    </row>
    <row r="17" spans="1:11" ht="15" x14ac:dyDescent="0.25">
      <c r="A17" s="4"/>
      <c r="B17" s="9">
        <v>14</v>
      </c>
      <c r="C17" s="83" t="s">
        <v>100</v>
      </c>
      <c r="D17" s="84" t="s">
        <v>101</v>
      </c>
      <c r="E17" s="85">
        <v>45433</v>
      </c>
      <c r="F17" s="42">
        <v>220722.73</v>
      </c>
      <c r="G17" s="43">
        <v>240587.78</v>
      </c>
      <c r="H17" s="4"/>
      <c r="I17" s="4"/>
      <c r="J17" s="4"/>
      <c r="K17" s="4"/>
    </row>
    <row r="18" spans="1:11" x14ac:dyDescent="0.2">
      <c r="A18" s="4"/>
      <c r="B18" s="9">
        <v>15</v>
      </c>
      <c r="C18" s="224">
        <v>24004761</v>
      </c>
      <c r="D18" s="224">
        <v>5091232</v>
      </c>
      <c r="E18" s="225">
        <v>45487</v>
      </c>
      <c r="F18" s="226">
        <v>16152.42</v>
      </c>
      <c r="G18" s="199">
        <v>17606.14</v>
      </c>
      <c r="H18" s="75"/>
      <c r="I18" s="78"/>
      <c r="J18" s="79"/>
      <c r="K18" s="76"/>
    </row>
    <row r="19" spans="1:11" x14ac:dyDescent="0.2">
      <c r="A19" s="4"/>
      <c r="B19" s="9">
        <v>16</v>
      </c>
      <c r="C19" s="224">
        <v>24004762</v>
      </c>
      <c r="D19" s="224">
        <v>5090472</v>
      </c>
      <c r="E19" s="225">
        <v>45487</v>
      </c>
      <c r="F19" s="226">
        <v>79039.94</v>
      </c>
      <c r="G19" s="199">
        <v>86153.53</v>
      </c>
      <c r="H19" s="75"/>
      <c r="I19" s="78"/>
      <c r="J19" s="79"/>
      <c r="K19" s="76"/>
    </row>
    <row r="20" spans="1:11" x14ac:dyDescent="0.2">
      <c r="A20" s="4"/>
      <c r="B20" s="9">
        <v>17</v>
      </c>
      <c r="C20" s="4">
        <v>24004845</v>
      </c>
      <c r="D20" s="224">
        <v>5089526</v>
      </c>
      <c r="E20" s="225">
        <v>45494</v>
      </c>
      <c r="F20" s="226">
        <v>985487.06</v>
      </c>
      <c r="G20" s="199">
        <v>1074180.8999999999</v>
      </c>
      <c r="H20" s="75"/>
      <c r="I20" s="78"/>
      <c r="J20" s="79"/>
      <c r="K20" s="76"/>
    </row>
    <row r="21" spans="1:11" ht="15.75" x14ac:dyDescent="0.25">
      <c r="A21" s="4"/>
      <c r="B21" s="3"/>
      <c r="C21" s="5"/>
      <c r="D21" s="5"/>
      <c r="E21" s="44"/>
      <c r="F21" s="45"/>
      <c r="G21" s="46"/>
      <c r="H21" s="41"/>
      <c r="I21" s="69"/>
      <c r="J21" s="232" t="s">
        <v>102</v>
      </c>
      <c r="K21" s="233">
        <f>SUM(K4:K15)</f>
        <v>28681420.41</v>
      </c>
    </row>
    <row r="22" spans="1:11" x14ac:dyDescent="0.2">
      <c r="A22" s="4"/>
      <c r="B22" s="3"/>
      <c r="C22" s="5"/>
      <c r="D22" s="5"/>
      <c r="E22" s="44"/>
      <c r="F22" s="45"/>
      <c r="G22" s="46" t="s">
        <v>0</v>
      </c>
      <c r="H22" s="75"/>
      <c r="I22" s="78"/>
      <c r="J22" s="79"/>
      <c r="K22" s="77" t="s">
        <v>0</v>
      </c>
    </row>
    <row r="23" spans="1:11" ht="15" x14ac:dyDescent="0.2">
      <c r="A23" s="4"/>
      <c r="B23" s="3"/>
      <c r="C23" s="5"/>
      <c r="D23" s="5"/>
      <c r="E23" s="44"/>
      <c r="F23" s="227" t="s">
        <v>103</v>
      </c>
      <c r="G23" s="228">
        <f>SUM(G4:G20)</f>
        <v>30744557.009999998</v>
      </c>
      <c r="H23" s="75"/>
      <c r="I23" s="78"/>
      <c r="J23" s="4"/>
      <c r="K23" s="4"/>
    </row>
    <row r="24" spans="1:11" ht="15" x14ac:dyDescent="0.2">
      <c r="A24" s="4"/>
      <c r="B24" s="4"/>
      <c r="C24" s="4"/>
      <c r="D24" s="4"/>
      <c r="E24" s="4"/>
      <c r="F24" s="229" t="s">
        <v>203</v>
      </c>
      <c r="G24" s="228">
        <f>G23*0.05</f>
        <v>1537227.8504999999</v>
      </c>
      <c r="H24" s="75"/>
      <c r="I24" s="78"/>
      <c r="J24" s="79"/>
      <c r="K24" s="76"/>
    </row>
    <row r="25" spans="1:11" ht="15" x14ac:dyDescent="0.25">
      <c r="A25" s="4"/>
      <c r="B25" s="4"/>
      <c r="C25" s="4"/>
      <c r="D25" s="4"/>
      <c r="E25" s="4"/>
      <c r="F25" s="230" t="s">
        <v>104</v>
      </c>
      <c r="G25" s="231">
        <f>SUM(G23-G24)</f>
        <v>29207329.159499999</v>
      </c>
      <c r="H25" s="75"/>
      <c r="I25" s="80"/>
      <c r="J25" s="79"/>
      <c r="K25" s="77"/>
    </row>
    <row r="26" spans="1:11" ht="13.5" thickBot="1" x14ac:dyDescent="0.25">
      <c r="A26" s="4"/>
      <c r="B26" s="4"/>
      <c r="C26" s="4"/>
      <c r="D26" s="4"/>
      <c r="E26" s="4"/>
      <c r="F26" s="4"/>
      <c r="G26" s="4"/>
      <c r="H26" s="75"/>
      <c r="I26" s="80"/>
      <c r="J26" s="79"/>
      <c r="K26" s="77"/>
    </row>
    <row r="27" spans="1:11" ht="28.5" thickBot="1" x14ac:dyDescent="0.45">
      <c r="A27" s="48"/>
      <c r="B27" s="53"/>
      <c r="C27" s="53"/>
      <c r="D27" s="4"/>
      <c r="E27" s="4"/>
      <c r="F27" s="410" t="s">
        <v>105</v>
      </c>
      <c r="G27" s="411"/>
      <c r="H27" s="410">
        <f>G25-K21</f>
        <v>525908.74949999899</v>
      </c>
      <c r="I27" s="411"/>
      <c r="J27" s="412"/>
      <c r="K27" s="77"/>
    </row>
    <row r="28" spans="1:11" ht="27.75" x14ac:dyDescent="0.4">
      <c r="A28" s="53"/>
      <c r="B28" s="53"/>
      <c r="C28" s="53"/>
      <c r="D28" s="4"/>
      <c r="E28" s="4"/>
      <c r="F28" s="413"/>
      <c r="G28" s="414"/>
      <c r="H28" s="75"/>
      <c r="I28" s="80"/>
      <c r="J28" s="79"/>
      <c r="K28" s="77"/>
    </row>
    <row r="29" spans="1:11" x14ac:dyDescent="0.2">
      <c r="A29" s="4"/>
      <c r="B29" s="4"/>
      <c r="C29" s="4"/>
      <c r="D29" s="4"/>
      <c r="E29" s="4"/>
      <c r="F29" s="4"/>
      <c r="G29" s="4"/>
      <c r="H29" s="75"/>
      <c r="I29" s="80"/>
      <c r="J29" s="79"/>
      <c r="K29" s="77"/>
    </row>
    <row r="30" spans="1:11" x14ac:dyDescent="0.2">
      <c r="A30" s="4"/>
      <c r="B30" s="4"/>
      <c r="C30" s="4"/>
      <c r="D30" s="4"/>
      <c r="E30" s="4"/>
      <c r="F30" s="4"/>
      <c r="G30" s="4"/>
      <c r="H30" s="75"/>
      <c r="I30" s="80"/>
      <c r="J30" s="79"/>
      <c r="K30" s="77"/>
    </row>
  </sheetData>
  <mergeCells count="4">
    <mergeCell ref="F27:G27"/>
    <mergeCell ref="H27:J27"/>
    <mergeCell ref="F28:G28"/>
    <mergeCell ref="F1:H1"/>
  </mergeCells>
  <conditionalFormatting sqref="C3:C19 C21:C23 D20">
    <cfRule type="duplicateValues" dxfId="29" priority="27"/>
    <cfRule type="duplicateValues" dxfId="28" priority="28"/>
    <cfRule type="duplicateValues" dxfId="27" priority="29"/>
  </conditionalFormatting>
  <conditionalFormatting sqref="D3:D19 D21:D23">
    <cfRule type="duplicateValues" dxfId="26" priority="26"/>
  </conditionalFormatting>
  <conditionalFormatting sqref="G23:G24">
    <cfRule type="duplicateValues" dxfId="25" priority="30"/>
  </conditionalFormatting>
  <conditionalFormatting sqref="H3:K3">
    <cfRule type="duplicateValues" dxfId="24" priority="21"/>
    <cfRule type="duplicateValues" dxfId="23" priority="22"/>
    <cfRule type="duplicateValues" dxfId="22" priority="23"/>
  </conditionalFormatting>
  <conditionalFormatting sqref="I4">
    <cfRule type="duplicateValues" dxfId="21" priority="20"/>
  </conditionalFormatting>
  <conditionalFormatting sqref="I5">
    <cfRule type="duplicateValues" dxfId="20" priority="18"/>
  </conditionalFormatting>
  <conditionalFormatting sqref="I6">
    <cfRule type="duplicateValues" dxfId="19" priority="16"/>
  </conditionalFormatting>
  <conditionalFormatting sqref="I7">
    <cfRule type="duplicateValues" dxfId="18" priority="14"/>
  </conditionalFormatting>
  <conditionalFormatting sqref="I8">
    <cfRule type="duplicateValues" dxfId="17" priority="12"/>
  </conditionalFormatting>
  <conditionalFormatting sqref="I9">
    <cfRule type="duplicateValues" dxfId="16" priority="10"/>
  </conditionalFormatting>
  <conditionalFormatting sqref="I10">
    <cfRule type="duplicateValues" dxfId="15" priority="8"/>
  </conditionalFormatting>
  <conditionalFormatting sqref="I11">
    <cfRule type="duplicateValues" dxfId="14" priority="6"/>
  </conditionalFormatting>
  <conditionalFormatting sqref="I12">
    <cfRule type="duplicateValues" dxfId="13" priority="4"/>
  </conditionalFormatting>
  <conditionalFormatting sqref="I13">
    <cfRule type="duplicateValues" dxfId="12" priority="3"/>
  </conditionalFormatting>
  <conditionalFormatting sqref="I14">
    <cfRule type="duplicateValues" dxfId="11" priority="2"/>
  </conditionalFormatting>
  <conditionalFormatting sqref="I28:I30 I15:I16 I18:I26">
    <cfRule type="duplicateValues" dxfId="10" priority="25"/>
  </conditionalFormatting>
  <conditionalFormatting sqref="K4">
    <cfRule type="duplicateValues" dxfId="9" priority="19"/>
  </conditionalFormatting>
  <conditionalFormatting sqref="K5">
    <cfRule type="duplicateValues" dxfId="8" priority="17"/>
  </conditionalFormatting>
  <conditionalFormatting sqref="K6">
    <cfRule type="duplicateValues" dxfId="7" priority="15"/>
  </conditionalFormatting>
  <conditionalFormatting sqref="K7">
    <cfRule type="duplicateValues" dxfId="6" priority="13"/>
  </conditionalFormatting>
  <conditionalFormatting sqref="K8">
    <cfRule type="duplicateValues" dxfId="5" priority="11"/>
  </conditionalFormatting>
  <conditionalFormatting sqref="K9">
    <cfRule type="duplicateValues" dxfId="4" priority="9"/>
  </conditionalFormatting>
  <conditionalFormatting sqref="K10">
    <cfRule type="duplicateValues" dxfId="3" priority="7"/>
  </conditionalFormatting>
  <conditionalFormatting sqref="K11">
    <cfRule type="duplicateValues" dxfId="2" priority="5"/>
  </conditionalFormatting>
  <conditionalFormatting sqref="K15">
    <cfRule type="duplicateValues" dxfId="1" priority="1"/>
  </conditionalFormatting>
  <conditionalFormatting sqref="K18:K20 K16 K24:K30 K22">
    <cfRule type="duplicateValues" dxfId="0" priority="24"/>
  </conditionalFormatting>
  <pageMargins left="0.7" right="0.7" top="0.75" bottom="0.75" header="0.3" footer="0.3"/>
  <pageSetup paperSize="9" scale="7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2:L14"/>
  <sheetViews>
    <sheetView view="pageBreakPreview" zoomScale="94" zoomScaleNormal="100" workbookViewId="0">
      <selection activeCell="D13" sqref="D13"/>
    </sheetView>
  </sheetViews>
  <sheetFormatPr baseColWidth="10" defaultRowHeight="12.75" x14ac:dyDescent="0.2"/>
  <cols>
    <col min="2" max="2" width="16.5" bestFit="1" customWidth="1"/>
    <col min="3" max="3" width="13" customWidth="1"/>
    <col min="4" max="4" width="15.1640625" customWidth="1"/>
    <col min="5" max="5" width="18.1640625" customWidth="1"/>
    <col min="6" max="6" width="14.83203125" customWidth="1"/>
    <col min="7" max="7" width="13.83203125" customWidth="1"/>
    <col min="8" max="8" width="12.83203125" customWidth="1"/>
    <col min="9" max="9" width="13.33203125" customWidth="1"/>
    <col min="10" max="10" width="12.83203125" customWidth="1"/>
    <col min="11" max="11" width="17" customWidth="1"/>
    <col min="12" max="12" width="16.83203125" customWidth="1"/>
  </cols>
  <sheetData>
    <row r="2" spans="1:12" x14ac:dyDescent="0.2">
      <c r="E2" s="363" t="s">
        <v>212</v>
      </c>
      <c r="F2" s="364"/>
      <c r="G2" s="364"/>
      <c r="H2" s="364"/>
    </row>
    <row r="3" spans="1:12" ht="13.5" thickBot="1" x14ac:dyDescent="0.25"/>
    <row r="4" spans="1:12" ht="24.95" customHeight="1" thickBot="1" x14ac:dyDescent="0.25">
      <c r="A4" s="86" t="s">
        <v>1</v>
      </c>
      <c r="B4" s="86" t="s">
        <v>249</v>
      </c>
      <c r="C4" s="86" t="s">
        <v>2</v>
      </c>
      <c r="D4" s="87" t="s">
        <v>127</v>
      </c>
      <c r="E4" s="87" t="s">
        <v>184</v>
      </c>
      <c r="F4" s="87" t="s">
        <v>180</v>
      </c>
      <c r="G4" s="87" t="s">
        <v>181</v>
      </c>
      <c r="H4" s="87" t="s">
        <v>126</v>
      </c>
      <c r="I4" s="87" t="s">
        <v>113</v>
      </c>
      <c r="J4" s="88" t="s">
        <v>114</v>
      </c>
      <c r="K4" s="89" t="s">
        <v>182</v>
      </c>
      <c r="L4" s="89" t="s">
        <v>183</v>
      </c>
    </row>
    <row r="5" spans="1:12" ht="20.45" customHeight="1" x14ac:dyDescent="0.2">
      <c r="A5" s="422" t="s">
        <v>120</v>
      </c>
      <c r="B5" s="428">
        <f>D5+D7</f>
        <v>14996736.02</v>
      </c>
      <c r="C5" s="422" t="s">
        <v>115</v>
      </c>
      <c r="D5" s="424">
        <v>12134255</v>
      </c>
      <c r="E5" s="90" t="s">
        <v>176</v>
      </c>
      <c r="F5" s="90"/>
      <c r="G5" s="90">
        <v>6067127.5</v>
      </c>
      <c r="H5" s="419">
        <v>2023</v>
      </c>
      <c r="I5" s="92">
        <v>45217</v>
      </c>
      <c r="J5" s="90" t="s">
        <v>186</v>
      </c>
      <c r="K5" s="425">
        <f>G5+G6</f>
        <v>8493978.5</v>
      </c>
      <c r="L5" s="425">
        <f>D5-K5</f>
        <v>3640276.5</v>
      </c>
    </row>
    <row r="6" spans="1:12" ht="18.95" customHeight="1" x14ac:dyDescent="0.2">
      <c r="A6" s="422"/>
      <c r="B6" s="429"/>
      <c r="C6" s="422"/>
      <c r="D6" s="424"/>
      <c r="E6" s="90" t="s">
        <v>177</v>
      </c>
      <c r="F6" s="90"/>
      <c r="G6" s="90">
        <v>2426851</v>
      </c>
      <c r="H6" s="419"/>
      <c r="I6" s="92">
        <v>45250</v>
      </c>
      <c r="J6" s="90" t="s">
        <v>185</v>
      </c>
      <c r="K6" s="426"/>
      <c r="L6" s="426"/>
    </row>
    <row r="7" spans="1:12" ht="24" customHeight="1" x14ac:dyDescent="0.2">
      <c r="A7" s="422"/>
      <c r="B7" s="429"/>
      <c r="C7" s="422" t="s">
        <v>116</v>
      </c>
      <c r="D7" s="424">
        <v>2862481.02</v>
      </c>
      <c r="E7" s="424" t="s">
        <v>178</v>
      </c>
      <c r="F7" s="424">
        <v>2862481.02</v>
      </c>
      <c r="G7" s="90">
        <v>1100000</v>
      </c>
      <c r="H7" s="419">
        <v>2024</v>
      </c>
      <c r="I7" s="91">
        <v>45445</v>
      </c>
      <c r="J7" s="91" t="s">
        <v>117</v>
      </c>
      <c r="K7" s="420">
        <f>G7+G8</f>
        <v>2872480</v>
      </c>
      <c r="L7" s="420">
        <f>F7-K7</f>
        <v>-9998.9799999999814</v>
      </c>
    </row>
    <row r="8" spans="1:12" ht="24.95" customHeight="1" thickBot="1" x14ac:dyDescent="0.25">
      <c r="A8" s="423"/>
      <c r="B8" s="429"/>
      <c r="C8" s="423"/>
      <c r="D8" s="427"/>
      <c r="E8" s="424"/>
      <c r="F8" s="424"/>
      <c r="G8" s="90">
        <v>1772480</v>
      </c>
      <c r="H8" s="419"/>
      <c r="I8" s="91">
        <v>45484</v>
      </c>
      <c r="J8" s="91" t="s">
        <v>119</v>
      </c>
      <c r="K8" s="421"/>
      <c r="L8" s="421"/>
    </row>
    <row r="9" spans="1:12" ht="27.6" customHeight="1" thickBot="1" x14ac:dyDescent="0.25">
      <c r="A9" s="416" t="s">
        <v>276</v>
      </c>
      <c r="B9" s="417"/>
      <c r="C9" s="418"/>
      <c r="D9" s="309">
        <f>D5+D7</f>
        <v>14996736.02</v>
      </c>
      <c r="G9" s="20"/>
      <c r="K9" s="309">
        <f>K5+K7</f>
        <v>11366458.5</v>
      </c>
      <c r="L9" s="310">
        <f>L5+L7</f>
        <v>3630277.52</v>
      </c>
    </row>
    <row r="10" spans="1:12" x14ac:dyDescent="0.2">
      <c r="K10" s="113"/>
      <c r="L10" s="113"/>
    </row>
    <row r="14" spans="1:12" x14ac:dyDescent="0.2">
      <c r="D14" s="2" t="s">
        <v>0</v>
      </c>
    </row>
  </sheetData>
  <mergeCells count="16">
    <mergeCell ref="A9:C9"/>
    <mergeCell ref="E2:H2"/>
    <mergeCell ref="H7:H8"/>
    <mergeCell ref="K7:K8"/>
    <mergeCell ref="L7:L8"/>
    <mergeCell ref="A5:A8"/>
    <mergeCell ref="C5:C6"/>
    <mergeCell ref="D5:D6"/>
    <mergeCell ref="H5:H6"/>
    <mergeCell ref="K5:K6"/>
    <mergeCell ref="L5:L6"/>
    <mergeCell ref="C7:C8"/>
    <mergeCell ref="D7:D8"/>
    <mergeCell ref="E7:E8"/>
    <mergeCell ref="F7:F8"/>
    <mergeCell ref="B5:B8"/>
  </mergeCells>
  <pageMargins left="0.7" right="0.7" top="0.75" bottom="0.75" header="0.3" footer="0.3"/>
  <pageSetup paperSize="9" scale="8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  <pageSetUpPr fitToPage="1"/>
  </sheetPr>
  <dimension ref="A1:N18"/>
  <sheetViews>
    <sheetView view="pageBreakPreview" zoomScale="60" zoomScaleNormal="46" workbookViewId="0">
      <selection activeCell="F5" sqref="F5:F11"/>
    </sheetView>
  </sheetViews>
  <sheetFormatPr baseColWidth="10" defaultRowHeight="12.75" x14ac:dyDescent="0.2"/>
  <cols>
    <col min="1" max="1" width="15.1640625" customWidth="1"/>
    <col min="2" max="2" width="19.83203125" customWidth="1"/>
    <col min="3" max="4" width="18.6640625" customWidth="1"/>
    <col min="5" max="5" width="17.6640625" style="19" customWidth="1"/>
    <col min="6" max="6" width="19.33203125" style="1" customWidth="1"/>
    <col min="7" max="7" width="23.1640625" style="1" customWidth="1"/>
    <col min="8" max="10" width="14.83203125" style="1" customWidth="1"/>
    <col min="11" max="11" width="14.83203125" customWidth="1"/>
    <col min="12" max="12" width="18.33203125" customWidth="1"/>
    <col min="13" max="13" width="19.33203125" customWidth="1"/>
    <col min="14" max="14" width="15.6640625" style="1" customWidth="1"/>
    <col min="15" max="15" width="16" customWidth="1"/>
  </cols>
  <sheetData>
    <row r="1" spans="1:14" x14ac:dyDescent="0.2">
      <c r="E1" s="174"/>
      <c r="F1" s="51"/>
      <c r="G1" s="51"/>
      <c r="H1" s="51"/>
      <c r="I1" s="51"/>
      <c r="J1" s="51"/>
      <c r="N1" s="51"/>
    </row>
    <row r="2" spans="1:14" x14ac:dyDescent="0.2">
      <c r="E2" s="447" t="s">
        <v>231</v>
      </c>
      <c r="F2" s="447"/>
      <c r="G2" s="447"/>
      <c r="H2" s="447"/>
      <c r="I2" s="447"/>
      <c r="J2" s="51"/>
      <c r="N2" s="51"/>
    </row>
    <row r="3" spans="1:14" x14ac:dyDescent="0.2">
      <c r="E3" s="174"/>
      <c r="F3" s="51"/>
      <c r="G3" s="51"/>
      <c r="H3" s="51"/>
      <c r="I3" s="51"/>
      <c r="J3" s="51"/>
      <c r="N3" s="51"/>
    </row>
    <row r="4" spans="1:14" ht="74.45" customHeight="1" thickBot="1" x14ac:dyDescent="0.25">
      <c r="A4" s="175" t="s">
        <v>2</v>
      </c>
      <c r="B4" s="176" t="s">
        <v>127</v>
      </c>
      <c r="C4" s="176" t="s">
        <v>179</v>
      </c>
      <c r="D4" s="176" t="s">
        <v>232</v>
      </c>
      <c r="E4" s="176" t="s">
        <v>180</v>
      </c>
      <c r="F4" s="176" t="s">
        <v>216</v>
      </c>
      <c r="G4" s="176" t="s">
        <v>181</v>
      </c>
      <c r="H4" s="176" t="s">
        <v>126</v>
      </c>
      <c r="I4" s="176" t="s">
        <v>20</v>
      </c>
      <c r="J4" s="176" t="s">
        <v>113</v>
      </c>
      <c r="K4" s="177" t="s">
        <v>114</v>
      </c>
      <c r="L4" s="178" t="s">
        <v>182</v>
      </c>
      <c r="M4" s="178" t="s">
        <v>183</v>
      </c>
    </row>
    <row r="5" spans="1:14" ht="60.6" customHeight="1" x14ac:dyDescent="0.2">
      <c r="A5" s="430" t="s">
        <v>22</v>
      </c>
      <c r="B5" s="439">
        <v>23359481.530000001</v>
      </c>
      <c r="C5" s="179" t="s">
        <v>190</v>
      </c>
      <c r="D5" s="179"/>
      <c r="E5" s="179">
        <v>5126055.32</v>
      </c>
      <c r="F5" s="439">
        <f>E5+E6+E7+E9+E11</f>
        <v>17933214.579999998</v>
      </c>
      <c r="G5" s="180">
        <v>5126055.32</v>
      </c>
      <c r="H5" s="181">
        <v>2023</v>
      </c>
      <c r="I5" s="433" t="s">
        <v>26</v>
      </c>
      <c r="J5" s="182">
        <v>45638</v>
      </c>
      <c r="K5" s="183" t="s">
        <v>191</v>
      </c>
      <c r="L5" s="436">
        <f>G5+G6+G7+G9+G10+G11</f>
        <v>17868714.73</v>
      </c>
      <c r="M5" s="436">
        <f>F5-L5</f>
        <v>64499.849999997765</v>
      </c>
    </row>
    <row r="6" spans="1:14" ht="57" customHeight="1" x14ac:dyDescent="0.2">
      <c r="A6" s="431"/>
      <c r="B6" s="441"/>
      <c r="C6" s="179" t="s">
        <v>192</v>
      </c>
      <c r="D6" s="179"/>
      <c r="E6" s="179">
        <v>3203788.85</v>
      </c>
      <c r="F6" s="441"/>
      <c r="G6" s="184">
        <v>3203788.85</v>
      </c>
      <c r="H6" s="433">
        <v>2024</v>
      </c>
      <c r="I6" s="434"/>
      <c r="J6" s="182">
        <v>45326</v>
      </c>
      <c r="K6" s="183" t="s">
        <v>123</v>
      </c>
      <c r="L6" s="437"/>
      <c r="M6" s="437"/>
    </row>
    <row r="7" spans="1:14" ht="49.5" customHeight="1" x14ac:dyDescent="0.2">
      <c r="A7" s="431"/>
      <c r="B7" s="441"/>
      <c r="C7" s="439" t="s">
        <v>193</v>
      </c>
      <c r="D7" s="439"/>
      <c r="E7" s="439">
        <v>3240460.56</v>
      </c>
      <c r="F7" s="441"/>
      <c r="G7" s="442">
        <v>3240460.56</v>
      </c>
      <c r="H7" s="434"/>
      <c r="I7" s="434"/>
      <c r="J7" s="444">
        <v>45375</v>
      </c>
      <c r="K7" s="445" t="s">
        <v>125</v>
      </c>
      <c r="L7" s="437"/>
      <c r="M7" s="437"/>
    </row>
    <row r="8" spans="1:14" ht="47.1" customHeight="1" x14ac:dyDescent="0.2">
      <c r="A8" s="431"/>
      <c r="B8" s="441"/>
      <c r="C8" s="440"/>
      <c r="D8" s="440"/>
      <c r="E8" s="440"/>
      <c r="F8" s="441"/>
      <c r="G8" s="443"/>
      <c r="H8" s="434"/>
      <c r="I8" s="434"/>
      <c r="J8" s="444"/>
      <c r="K8" s="445"/>
      <c r="L8" s="437"/>
      <c r="M8" s="437"/>
    </row>
    <row r="9" spans="1:14" ht="53.1" customHeight="1" x14ac:dyDescent="0.2">
      <c r="A9" s="431"/>
      <c r="B9" s="441"/>
      <c r="C9" s="446" t="s">
        <v>194</v>
      </c>
      <c r="D9" s="439"/>
      <c r="E9" s="446">
        <v>4298410.2</v>
      </c>
      <c r="F9" s="441"/>
      <c r="G9" s="185">
        <v>2000000</v>
      </c>
      <c r="H9" s="434"/>
      <c r="I9" s="434"/>
      <c r="J9" s="182">
        <v>45432</v>
      </c>
      <c r="K9" s="186" t="s">
        <v>124</v>
      </c>
      <c r="L9" s="437"/>
      <c r="M9" s="437"/>
    </row>
    <row r="10" spans="1:14" ht="42.95" customHeight="1" x14ac:dyDescent="0.2">
      <c r="A10" s="431"/>
      <c r="B10" s="441"/>
      <c r="C10" s="446"/>
      <c r="D10" s="440"/>
      <c r="E10" s="446"/>
      <c r="F10" s="441"/>
      <c r="G10" s="187">
        <v>2298410</v>
      </c>
      <c r="H10" s="434"/>
      <c r="I10" s="435"/>
      <c r="J10" s="182">
        <v>45467</v>
      </c>
      <c r="K10" s="183" t="s">
        <v>129</v>
      </c>
      <c r="L10" s="437"/>
      <c r="M10" s="437"/>
    </row>
    <row r="11" spans="1:14" ht="77.45" customHeight="1" x14ac:dyDescent="0.2">
      <c r="A11" s="432"/>
      <c r="B11" s="440"/>
      <c r="C11" s="179" t="s">
        <v>198</v>
      </c>
      <c r="D11" s="173"/>
      <c r="E11" s="189">
        <v>2064499.65</v>
      </c>
      <c r="F11" s="440"/>
      <c r="G11" s="187">
        <v>2000000</v>
      </c>
      <c r="H11" s="435"/>
      <c r="I11" s="190" t="s">
        <v>15</v>
      </c>
      <c r="J11" s="191">
        <v>45627</v>
      </c>
      <c r="K11" s="188" t="s">
        <v>233</v>
      </c>
      <c r="L11" s="438"/>
      <c r="M11" s="438"/>
    </row>
    <row r="12" spans="1:14" x14ac:dyDescent="0.2">
      <c r="M12" s="2" t="s">
        <v>0</v>
      </c>
    </row>
    <row r="18" spans="8:8" x14ac:dyDescent="0.2">
      <c r="H18" s="29" t="s">
        <v>0</v>
      </c>
    </row>
  </sheetData>
  <mergeCells count="17">
    <mergeCell ref="M5:M11"/>
    <mergeCell ref="E2:I2"/>
    <mergeCell ref="B5:B11"/>
    <mergeCell ref="A5:A11"/>
    <mergeCell ref="H6:H11"/>
    <mergeCell ref="L5:L11"/>
    <mergeCell ref="D7:D8"/>
    <mergeCell ref="D9:D10"/>
    <mergeCell ref="F5:F11"/>
    <mergeCell ref="C7:C8"/>
    <mergeCell ref="E7:E8"/>
    <mergeCell ref="G7:G8"/>
    <mergeCell ref="J7:J8"/>
    <mergeCell ref="K7:K8"/>
    <mergeCell ref="C9:C10"/>
    <mergeCell ref="E9:E10"/>
    <mergeCell ref="I5:I10"/>
  </mergeCells>
  <phoneticPr fontId="15" type="noConversion"/>
  <pageMargins left="0.7" right="0.7" top="0.75" bottom="0.75" header="0.3" footer="0.3"/>
  <pageSetup paperSize="9" scale="56" fitToHeight="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8"/>
  <sheetViews>
    <sheetView view="pageBreakPreview" zoomScale="60" zoomScaleNormal="80" workbookViewId="0">
      <selection activeCell="B5" sqref="B5:B15"/>
    </sheetView>
  </sheetViews>
  <sheetFormatPr baseColWidth="10" defaultRowHeight="12.75" x14ac:dyDescent="0.2"/>
  <cols>
    <col min="2" max="2" width="15.1640625" customWidth="1"/>
    <col min="3" max="3" width="19.83203125" customWidth="1"/>
    <col min="4" max="4" width="16.33203125" customWidth="1"/>
    <col min="5" max="5" width="19.33203125" style="1" customWidth="1"/>
    <col min="6" max="6" width="23.1640625" style="1" customWidth="1"/>
    <col min="7" max="9" width="14.83203125" style="1" customWidth="1"/>
    <col min="10" max="10" width="14.83203125" customWidth="1"/>
    <col min="11" max="11" width="19.83203125" customWidth="1"/>
    <col min="12" max="12" width="19.33203125" customWidth="1"/>
    <col min="13" max="13" width="15.6640625" style="1" customWidth="1"/>
    <col min="14" max="14" width="16" customWidth="1"/>
  </cols>
  <sheetData>
    <row r="1" spans="1:13" x14ac:dyDescent="0.2">
      <c r="E1" s="51"/>
      <c r="F1" s="51"/>
      <c r="G1" s="51"/>
      <c r="H1" s="51"/>
      <c r="I1" s="51"/>
      <c r="M1" s="51"/>
    </row>
    <row r="2" spans="1:13" x14ac:dyDescent="0.2">
      <c r="E2" s="51"/>
      <c r="F2" s="51"/>
      <c r="G2" s="51"/>
      <c r="H2" s="51"/>
      <c r="I2" s="51"/>
      <c r="M2" s="51"/>
    </row>
    <row r="3" spans="1:13" x14ac:dyDescent="0.2">
      <c r="E3" s="51"/>
      <c r="F3" s="51"/>
      <c r="G3" s="51"/>
      <c r="H3" s="51"/>
      <c r="I3" s="51"/>
      <c r="M3" s="51"/>
    </row>
    <row r="4" spans="1:13" ht="60" x14ac:dyDescent="0.2">
      <c r="A4" s="95" t="s">
        <v>195</v>
      </c>
      <c r="B4" s="95" t="s">
        <v>2</v>
      </c>
      <c r="C4" s="96" t="s">
        <v>127</v>
      </c>
      <c r="D4" s="96" t="s">
        <v>179</v>
      </c>
      <c r="E4" s="96" t="s">
        <v>180</v>
      </c>
      <c r="F4" s="96" t="s">
        <v>181</v>
      </c>
      <c r="G4" s="96" t="s">
        <v>126</v>
      </c>
      <c r="H4" s="96" t="s">
        <v>20</v>
      </c>
      <c r="I4" s="96" t="s">
        <v>113</v>
      </c>
      <c r="J4" s="96" t="s">
        <v>114</v>
      </c>
      <c r="K4" s="97" t="s">
        <v>182</v>
      </c>
      <c r="L4" s="97" t="s">
        <v>183</v>
      </c>
    </row>
    <row r="5" spans="1:13" ht="30.6" customHeight="1" x14ac:dyDescent="0.2">
      <c r="A5" s="422"/>
      <c r="B5" s="422" t="s">
        <v>197</v>
      </c>
      <c r="C5" s="448">
        <v>137939425.77000001</v>
      </c>
      <c r="D5" s="110" t="s">
        <v>190</v>
      </c>
      <c r="E5" s="110">
        <v>18721458.829999998</v>
      </c>
      <c r="F5" s="111">
        <v>53000000</v>
      </c>
      <c r="G5" s="419">
        <v>2023</v>
      </c>
      <c r="H5" s="452" t="s">
        <v>26</v>
      </c>
      <c r="I5" s="91">
        <v>45194</v>
      </c>
      <c r="J5" s="104">
        <v>4078500</v>
      </c>
      <c r="K5" s="420">
        <f>F5+F6</f>
        <v>100031303</v>
      </c>
      <c r="L5" s="420">
        <f>C5-K5</f>
        <v>37908122.770000011</v>
      </c>
    </row>
    <row r="6" spans="1:13" ht="23.45" customHeight="1" x14ac:dyDescent="0.2">
      <c r="A6" s="422"/>
      <c r="B6" s="422"/>
      <c r="C6" s="448"/>
      <c r="D6" s="110" t="s">
        <v>192</v>
      </c>
      <c r="E6" s="110">
        <v>28309845.149999999</v>
      </c>
      <c r="F6" s="120">
        <v>47031303</v>
      </c>
      <c r="G6" s="419"/>
      <c r="H6" s="452"/>
      <c r="I6" s="91">
        <v>45194</v>
      </c>
      <c r="J6" s="104">
        <v>4078499</v>
      </c>
      <c r="K6" s="449"/>
      <c r="L6" s="449"/>
    </row>
    <row r="7" spans="1:13" ht="12.95" customHeight="1" x14ac:dyDescent="0.2">
      <c r="A7" s="422"/>
      <c r="B7" s="422"/>
      <c r="C7" s="448"/>
      <c r="D7" s="448" t="s">
        <v>193</v>
      </c>
      <c r="E7" s="448">
        <v>20862218.5</v>
      </c>
      <c r="F7" s="450"/>
      <c r="G7" s="419"/>
      <c r="H7" s="452"/>
      <c r="I7" s="451"/>
      <c r="J7" s="424"/>
      <c r="K7" s="449"/>
      <c r="L7" s="449"/>
    </row>
    <row r="8" spans="1:13" ht="12.95" customHeight="1" x14ac:dyDescent="0.2">
      <c r="A8" s="422"/>
      <c r="B8" s="422"/>
      <c r="C8" s="448"/>
      <c r="D8" s="448"/>
      <c r="E8" s="448"/>
      <c r="F8" s="450"/>
      <c r="G8" s="419"/>
      <c r="H8" s="452"/>
      <c r="I8" s="451"/>
      <c r="J8" s="424"/>
      <c r="K8" s="449"/>
      <c r="L8" s="449"/>
    </row>
    <row r="9" spans="1:13" ht="19.5" customHeight="1" x14ac:dyDescent="0.2">
      <c r="A9" s="422"/>
      <c r="B9" s="422"/>
      <c r="C9" s="448"/>
      <c r="D9" s="448" t="s">
        <v>194</v>
      </c>
      <c r="E9" s="448">
        <v>21936032</v>
      </c>
      <c r="F9" s="456"/>
      <c r="G9" s="419"/>
      <c r="H9" s="452"/>
      <c r="I9" s="91"/>
      <c r="J9" s="121"/>
      <c r="K9" s="449"/>
      <c r="L9" s="449"/>
    </row>
    <row r="10" spans="1:13" ht="34.5" customHeight="1" x14ac:dyDescent="0.2">
      <c r="A10" s="422"/>
      <c r="B10" s="422"/>
      <c r="C10" s="448"/>
      <c r="D10" s="448"/>
      <c r="E10" s="448"/>
      <c r="F10" s="457"/>
      <c r="G10" s="419"/>
      <c r="H10" s="452"/>
      <c r="I10" s="91"/>
      <c r="J10" s="90"/>
      <c r="K10" s="449"/>
      <c r="L10" s="449"/>
    </row>
    <row r="11" spans="1:13" ht="24" customHeight="1" x14ac:dyDescent="0.2">
      <c r="A11" s="422"/>
      <c r="B11" s="422"/>
      <c r="C11" s="448"/>
      <c r="D11" s="448" t="s">
        <v>198</v>
      </c>
      <c r="E11" s="453">
        <v>23113654.379999999</v>
      </c>
      <c r="F11" s="455"/>
      <c r="G11" s="419"/>
      <c r="H11" s="452"/>
      <c r="I11" s="98"/>
      <c r="J11" s="6"/>
      <c r="K11" s="7"/>
      <c r="L11" s="6"/>
    </row>
    <row r="12" spans="1:13" ht="21" customHeight="1" x14ac:dyDescent="0.2">
      <c r="A12" s="422"/>
      <c r="B12" s="422"/>
      <c r="C12" s="448"/>
      <c r="D12" s="448"/>
      <c r="E12" s="453"/>
      <c r="F12" s="455"/>
      <c r="G12" s="419"/>
      <c r="H12" s="452"/>
      <c r="I12" s="98"/>
      <c r="J12" s="6"/>
      <c r="K12" s="6"/>
      <c r="L12" s="6"/>
    </row>
    <row r="13" spans="1:13" ht="12.95" customHeight="1" x14ac:dyDescent="0.2">
      <c r="A13" s="422"/>
      <c r="B13" s="422"/>
      <c r="C13" s="448"/>
      <c r="D13" s="448" t="s">
        <v>199</v>
      </c>
      <c r="E13" s="454">
        <v>18099245.629999999</v>
      </c>
      <c r="F13" s="455"/>
      <c r="G13" s="419"/>
      <c r="H13" s="452"/>
      <c r="I13" s="98"/>
      <c r="J13" s="6"/>
      <c r="K13" s="6"/>
      <c r="L13" s="6"/>
    </row>
    <row r="14" spans="1:13" ht="12.95" customHeight="1" x14ac:dyDescent="0.2">
      <c r="A14" s="422"/>
      <c r="B14" s="422"/>
      <c r="C14" s="448"/>
      <c r="D14" s="448"/>
      <c r="E14" s="454"/>
      <c r="F14" s="455"/>
      <c r="G14" s="419"/>
      <c r="H14" s="452"/>
      <c r="I14" s="98"/>
      <c r="J14" s="6"/>
      <c r="K14" s="6"/>
      <c r="L14" s="6"/>
    </row>
    <row r="15" spans="1:13" ht="38.450000000000003" customHeight="1" x14ac:dyDescent="0.2">
      <c r="A15" s="422"/>
      <c r="B15" s="422"/>
      <c r="C15" s="448"/>
      <c r="D15" s="122" t="s">
        <v>200</v>
      </c>
      <c r="E15" s="98">
        <v>6896971.29</v>
      </c>
      <c r="F15" s="98"/>
      <c r="G15" s="419"/>
      <c r="H15" s="452"/>
      <c r="I15" s="98"/>
      <c r="J15" s="6"/>
      <c r="K15" s="6"/>
      <c r="L15" s="6"/>
    </row>
    <row r="16" spans="1:13" x14ac:dyDescent="0.2">
      <c r="E16" s="1">
        <f>SUM(E5:E15)</f>
        <v>137939425.77999997</v>
      </c>
    </row>
    <row r="18" spans="7:7" x14ac:dyDescent="0.2">
      <c r="G18" s="29" t="s">
        <v>0</v>
      </c>
    </row>
  </sheetData>
  <mergeCells count="21">
    <mergeCell ref="L5:L10"/>
    <mergeCell ref="D7:D8"/>
    <mergeCell ref="E7:E8"/>
    <mergeCell ref="F7:F8"/>
    <mergeCell ref="I7:I8"/>
    <mergeCell ref="J7:J8"/>
    <mergeCell ref="D9:D10"/>
    <mergeCell ref="E9:E10"/>
    <mergeCell ref="G5:G15"/>
    <mergeCell ref="H5:H15"/>
    <mergeCell ref="E11:E12"/>
    <mergeCell ref="E13:E14"/>
    <mergeCell ref="K5:K10"/>
    <mergeCell ref="F11:F12"/>
    <mergeCell ref="F13:F14"/>
    <mergeCell ref="F9:F10"/>
    <mergeCell ref="C5:C15"/>
    <mergeCell ref="B5:B15"/>
    <mergeCell ref="A5:A15"/>
    <mergeCell ref="D13:D14"/>
    <mergeCell ref="D11:D12"/>
  </mergeCells>
  <pageMargins left="0.7" right="0.7" top="0.75" bottom="0.75" header="0.3" footer="0.3"/>
  <pageSetup paperSize="9" scale="7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P13"/>
  <sheetViews>
    <sheetView view="pageBreakPreview" topLeftCell="A2" zoomScale="60" zoomScaleNormal="68" workbookViewId="0">
      <selection activeCell="I17" sqref="I17"/>
    </sheetView>
  </sheetViews>
  <sheetFormatPr baseColWidth="10" defaultRowHeight="12.75" x14ac:dyDescent="0.2"/>
  <cols>
    <col min="1" max="1" width="13.1640625" customWidth="1"/>
    <col min="2" max="2" width="15.1640625" customWidth="1"/>
    <col min="3" max="3" width="11.6640625" customWidth="1"/>
    <col min="4" max="4" width="15.1640625" customWidth="1"/>
    <col min="5" max="5" width="15.33203125" customWidth="1"/>
    <col min="6" max="6" width="10.83203125" customWidth="1"/>
    <col min="7" max="7" width="13.83203125" style="1" customWidth="1"/>
    <col min="8" max="8" width="17.1640625" style="1" customWidth="1"/>
    <col min="9" max="9" width="17.33203125" style="1" customWidth="1"/>
    <col min="10" max="10" width="13.5" style="1" customWidth="1"/>
    <col min="11" max="11" width="18.33203125" style="1" customWidth="1"/>
    <col min="12" max="14" width="14.83203125" customWidth="1"/>
    <col min="15" max="15" width="12.6640625" style="1" customWidth="1"/>
    <col min="16" max="16" width="16" customWidth="1"/>
  </cols>
  <sheetData>
    <row r="1" spans="1:16" ht="29.1" customHeight="1" x14ac:dyDescent="0.2">
      <c r="A1" s="112"/>
      <c r="B1" s="112"/>
      <c r="C1" s="112"/>
      <c r="D1" s="323" t="s">
        <v>14</v>
      </c>
      <c r="E1" s="323"/>
      <c r="F1" s="323"/>
      <c r="G1" s="323"/>
      <c r="H1" s="323"/>
      <c r="I1" s="112"/>
      <c r="J1" s="112"/>
      <c r="K1" s="112"/>
      <c r="L1" s="112"/>
      <c r="M1" s="112"/>
      <c r="N1" s="112"/>
      <c r="O1" s="112"/>
      <c r="P1" s="112"/>
    </row>
    <row r="2" spans="1:16" ht="12.95" customHeight="1" x14ac:dyDescent="0.2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r="3" spans="1:16" ht="23.1" customHeight="1" x14ac:dyDescent="0.2">
      <c r="A3" s="3"/>
      <c r="B3" s="3"/>
      <c r="C3" s="3"/>
      <c r="D3" s="3"/>
      <c r="E3" s="324" t="s">
        <v>46</v>
      </c>
      <c r="F3" s="324"/>
      <c r="G3" s="324"/>
      <c r="H3" s="324"/>
      <c r="I3" s="324"/>
      <c r="J3" s="324"/>
      <c r="K3" s="324"/>
      <c r="L3" s="324"/>
      <c r="M3" s="324"/>
      <c r="N3" s="324"/>
      <c r="O3" s="324"/>
      <c r="P3" s="324"/>
    </row>
    <row r="4" spans="1:16" ht="25.5" customHeight="1" x14ac:dyDescent="0.2">
      <c r="A4" s="3"/>
      <c r="B4" s="3"/>
      <c r="C4" s="3"/>
      <c r="D4" s="3"/>
      <c r="E4" s="11" t="s">
        <v>47</v>
      </c>
      <c r="F4" s="11"/>
      <c r="G4" s="19"/>
      <c r="H4" s="18"/>
      <c r="I4" s="18"/>
      <c r="J4" s="18"/>
      <c r="K4" s="18"/>
      <c r="L4" s="4"/>
      <c r="M4" s="4"/>
      <c r="N4" s="4"/>
      <c r="O4" s="18"/>
      <c r="P4" s="4"/>
    </row>
    <row r="6" spans="1:16" ht="13.5" thickBot="1" x14ac:dyDescent="0.25">
      <c r="G6"/>
      <c r="H6"/>
      <c r="I6"/>
      <c r="J6"/>
      <c r="K6"/>
    </row>
    <row r="7" spans="1:16" ht="41.1" customHeight="1" thickBot="1" x14ac:dyDescent="0.25">
      <c r="A7" s="86" t="s">
        <v>2</v>
      </c>
      <c r="B7" s="87" t="s">
        <v>127</v>
      </c>
      <c r="C7" s="87" t="s">
        <v>188</v>
      </c>
      <c r="D7" s="87" t="s">
        <v>180</v>
      </c>
      <c r="E7" s="87" t="s">
        <v>181</v>
      </c>
      <c r="F7" s="87" t="s">
        <v>126</v>
      </c>
      <c r="G7" s="87" t="s">
        <v>113</v>
      </c>
      <c r="H7" s="87" t="s">
        <v>114</v>
      </c>
      <c r="I7" s="89" t="s">
        <v>182</v>
      </c>
      <c r="J7" s="304" t="s">
        <v>226</v>
      </c>
      <c r="K7" s="89" t="s">
        <v>183</v>
      </c>
    </row>
    <row r="8" spans="1:16" ht="35.1" customHeight="1" thickTop="1" thickBot="1" x14ac:dyDescent="0.25">
      <c r="A8" s="458" t="s">
        <v>187</v>
      </c>
      <c r="B8" s="459">
        <v>27269903.399999999</v>
      </c>
      <c r="C8" s="463" t="s">
        <v>272</v>
      </c>
      <c r="D8" s="459">
        <v>1793900</v>
      </c>
      <c r="E8" s="305">
        <v>2000000</v>
      </c>
      <c r="F8" s="419">
        <v>2023</v>
      </c>
      <c r="G8" s="92">
        <v>45264</v>
      </c>
      <c r="H8" s="90" t="s">
        <v>189</v>
      </c>
      <c r="I8" s="420">
        <f>E8+E9</f>
        <v>2700000</v>
      </c>
      <c r="J8" s="425">
        <v>94415.8</v>
      </c>
      <c r="K8" s="420">
        <f>D8-I8</f>
        <v>-906100</v>
      </c>
    </row>
    <row r="9" spans="1:16" ht="54" customHeight="1" thickTop="1" thickBot="1" x14ac:dyDescent="0.25">
      <c r="A9" s="458"/>
      <c r="B9" s="459"/>
      <c r="C9" s="464"/>
      <c r="D9" s="459"/>
      <c r="E9" s="305">
        <v>700000</v>
      </c>
      <c r="F9" s="419"/>
      <c r="G9" s="92" t="s">
        <v>233</v>
      </c>
      <c r="H9" s="90" t="s">
        <v>132</v>
      </c>
      <c r="I9" s="449"/>
      <c r="J9" s="467"/>
      <c r="K9" s="449"/>
    </row>
    <row r="10" spans="1:16" ht="15.75" thickTop="1" x14ac:dyDescent="0.2">
      <c r="A10" s="460"/>
      <c r="B10" s="461"/>
      <c r="C10" s="461"/>
      <c r="D10" s="461"/>
      <c r="E10" s="93"/>
      <c r="F10" s="462"/>
      <c r="G10" s="94"/>
      <c r="H10" s="94"/>
      <c r="I10" s="465"/>
      <c r="J10" s="241"/>
      <c r="K10" s="465"/>
    </row>
    <row r="11" spans="1:16" ht="15" x14ac:dyDescent="0.2">
      <c r="A11" s="460"/>
      <c r="B11" s="461"/>
      <c r="C11" s="461"/>
      <c r="D11" s="461"/>
      <c r="E11" s="93"/>
      <c r="F11" s="462"/>
      <c r="G11" s="94"/>
      <c r="H11" s="94"/>
      <c r="I11" s="466"/>
      <c r="J11" s="242"/>
      <c r="K11" s="466"/>
    </row>
    <row r="12" spans="1:16" x14ac:dyDescent="0.2">
      <c r="G12"/>
      <c r="H12"/>
      <c r="I12"/>
      <c r="J12"/>
      <c r="K12"/>
    </row>
    <row r="13" spans="1:16" x14ac:dyDescent="0.2">
      <c r="G13"/>
      <c r="H13"/>
      <c r="I13"/>
      <c r="J13"/>
      <c r="K13"/>
    </row>
  </sheetData>
  <mergeCells count="17">
    <mergeCell ref="E3:P3"/>
    <mergeCell ref="K8:K9"/>
    <mergeCell ref="D1:H1"/>
    <mergeCell ref="I10:I11"/>
    <mergeCell ref="K10:K11"/>
    <mergeCell ref="J8:J9"/>
    <mergeCell ref="A8:A9"/>
    <mergeCell ref="B8:B9"/>
    <mergeCell ref="F8:F9"/>
    <mergeCell ref="I8:I9"/>
    <mergeCell ref="A10:A11"/>
    <mergeCell ref="B10:B11"/>
    <mergeCell ref="C10:C11"/>
    <mergeCell ref="D10:D11"/>
    <mergeCell ref="F10:F11"/>
    <mergeCell ref="D8:D9"/>
    <mergeCell ref="C8:C9"/>
  </mergeCells>
  <pageMargins left="0.11805555555555555" right="0.25" top="0.75" bottom="0.75" header="0.3" footer="0.3"/>
  <pageSetup paperSize="9" fitToWidth="0" orientation="landscape" horizontalDpi="300" verticalDpi="300" r:id="rId1"/>
  <colBreaks count="2" manualBreakCount="2">
    <brk id="12" max="20" man="1"/>
    <brk id="15" max="20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  <pageSetUpPr fitToPage="1"/>
  </sheetPr>
  <dimension ref="A1:N24"/>
  <sheetViews>
    <sheetView view="pageBreakPreview" topLeftCell="A6" zoomScale="60" zoomScaleNormal="80" workbookViewId="0">
      <selection activeCell="M10" sqref="M10"/>
    </sheetView>
  </sheetViews>
  <sheetFormatPr baseColWidth="10" defaultRowHeight="12.75" x14ac:dyDescent="0.2"/>
  <cols>
    <col min="2" max="2" width="15.33203125" customWidth="1"/>
    <col min="3" max="3" width="16.33203125" customWidth="1"/>
    <col min="4" max="4" width="13.83203125" style="1" customWidth="1"/>
    <col min="5" max="5" width="17.83203125" style="1" customWidth="1"/>
    <col min="6" max="6" width="17.33203125" customWidth="1"/>
    <col min="7" max="7" width="14.83203125" customWidth="1"/>
    <col min="8" max="8" width="15" style="1" customWidth="1"/>
    <col min="9" max="9" width="16" customWidth="1"/>
    <col min="10" max="10" width="14" customWidth="1"/>
    <col min="12" max="12" width="18.83203125" customWidth="1"/>
    <col min="13" max="13" width="17.33203125" customWidth="1"/>
    <col min="14" max="14" width="21.33203125" customWidth="1"/>
  </cols>
  <sheetData>
    <row r="1" spans="1:14" x14ac:dyDescent="0.2">
      <c r="A1" s="323" t="s">
        <v>14</v>
      </c>
      <c r="B1" s="323"/>
      <c r="C1" s="323"/>
      <c r="D1" s="323"/>
      <c r="E1" s="323"/>
      <c r="F1" s="323"/>
      <c r="G1" s="323"/>
      <c r="H1" s="323"/>
      <c r="I1" s="323"/>
    </row>
    <row r="2" spans="1:14" x14ac:dyDescent="0.2">
      <c r="A2" s="323"/>
      <c r="B2" s="323"/>
      <c r="C2" s="323"/>
      <c r="D2" s="323"/>
      <c r="E2" s="323"/>
      <c r="F2" s="323"/>
      <c r="G2" s="323"/>
      <c r="H2" s="323"/>
      <c r="I2" s="323"/>
    </row>
    <row r="3" spans="1:14" ht="23.1" customHeight="1" x14ac:dyDescent="0.2">
      <c r="A3" s="3"/>
      <c r="B3" s="476" t="s">
        <v>253</v>
      </c>
      <c r="C3" s="324"/>
      <c r="D3" s="324"/>
      <c r="E3" s="324"/>
      <c r="F3" s="324"/>
      <c r="G3" s="324"/>
      <c r="H3" s="324"/>
      <c r="I3" s="324"/>
    </row>
    <row r="4" spans="1:14" ht="36" customHeight="1" x14ac:dyDescent="0.2">
      <c r="A4" s="3"/>
      <c r="B4" s="259" t="s">
        <v>235</v>
      </c>
      <c r="C4" s="260"/>
      <c r="D4" s="49"/>
      <c r="E4" s="18"/>
      <c r="F4" s="4"/>
      <c r="G4" s="4"/>
      <c r="H4" s="18"/>
      <c r="I4" s="4"/>
    </row>
    <row r="5" spans="1:14" ht="25.5" customHeight="1" x14ac:dyDescent="0.2">
      <c r="I5" s="2"/>
    </row>
    <row r="6" spans="1:14" ht="39.6" customHeight="1" x14ac:dyDescent="0.2">
      <c r="A6" s="6"/>
      <c r="B6" s="192" t="s">
        <v>127</v>
      </c>
      <c r="C6" s="192" t="s">
        <v>179</v>
      </c>
      <c r="D6" s="192" t="s">
        <v>232</v>
      </c>
      <c r="E6" s="192" t="s">
        <v>180</v>
      </c>
      <c r="F6" s="192" t="s">
        <v>216</v>
      </c>
      <c r="G6" s="192" t="s">
        <v>181</v>
      </c>
      <c r="H6" s="192" t="s">
        <v>126</v>
      </c>
      <c r="I6" s="192" t="s">
        <v>20</v>
      </c>
      <c r="J6" s="192" t="s">
        <v>234</v>
      </c>
      <c r="K6" s="192" t="s">
        <v>114</v>
      </c>
      <c r="L6" s="166" t="s">
        <v>182</v>
      </c>
      <c r="M6" s="166" t="s">
        <v>225</v>
      </c>
      <c r="N6" s="166" t="s">
        <v>183</v>
      </c>
    </row>
    <row r="7" spans="1:14" ht="99.6" customHeight="1" x14ac:dyDescent="0.2">
      <c r="A7" s="468" t="s">
        <v>221</v>
      </c>
      <c r="B7" s="478">
        <v>2253285.06</v>
      </c>
      <c r="C7" s="54" t="s">
        <v>52</v>
      </c>
      <c r="D7" s="194">
        <v>45635</v>
      </c>
      <c r="E7" s="26">
        <v>1368931</v>
      </c>
      <c r="F7" s="470">
        <f>E7+E8+E9</f>
        <v>1773889.17</v>
      </c>
      <c r="G7" s="470">
        <v>1440000</v>
      </c>
      <c r="H7" s="480">
        <v>2024</v>
      </c>
      <c r="I7" s="54" t="s">
        <v>131</v>
      </c>
      <c r="J7" s="488">
        <v>45630</v>
      </c>
      <c r="K7" s="472" t="s">
        <v>233</v>
      </c>
      <c r="L7" s="483">
        <f>G7+G8</f>
        <v>1440000</v>
      </c>
      <c r="M7" s="470">
        <f>F7*0.05</f>
        <v>88694.458500000008</v>
      </c>
      <c r="N7" s="483">
        <f>F7-L7</f>
        <v>333889.16999999993</v>
      </c>
    </row>
    <row r="8" spans="1:14" ht="24.95" customHeight="1" x14ac:dyDescent="0.2">
      <c r="A8" s="479"/>
      <c r="B8" s="477"/>
      <c r="C8" s="54" t="s">
        <v>53</v>
      </c>
      <c r="D8" s="194">
        <v>45639</v>
      </c>
      <c r="E8" s="26">
        <v>320109.3</v>
      </c>
      <c r="F8" s="477"/>
      <c r="G8" s="477"/>
      <c r="H8" s="481"/>
      <c r="I8" s="54"/>
      <c r="J8" s="489"/>
      <c r="K8" s="491"/>
      <c r="L8" s="486"/>
      <c r="M8" s="477"/>
      <c r="N8" s="484"/>
    </row>
    <row r="9" spans="1:14" ht="24.95" customHeight="1" x14ac:dyDescent="0.2">
      <c r="A9" s="469"/>
      <c r="B9" s="471"/>
      <c r="C9" s="54" t="s">
        <v>250</v>
      </c>
      <c r="D9" s="194">
        <v>45701</v>
      </c>
      <c r="E9" s="26">
        <v>84848.87</v>
      </c>
      <c r="F9" s="471"/>
      <c r="G9" s="471"/>
      <c r="H9" s="150">
        <v>2025</v>
      </c>
      <c r="I9" s="54"/>
      <c r="J9" s="490"/>
      <c r="K9" s="473"/>
      <c r="L9" s="487"/>
      <c r="M9" s="471"/>
      <c r="N9" s="485"/>
    </row>
    <row r="10" spans="1:14" ht="24.95" customHeight="1" x14ac:dyDescent="0.2">
      <c r="A10" s="195"/>
      <c r="B10" s="152" t="s">
        <v>0</v>
      </c>
      <c r="C10" s="152"/>
      <c r="D10" s="196"/>
      <c r="E10" s="49"/>
      <c r="F10" s="49"/>
      <c r="G10" s="49"/>
      <c r="H10" s="49"/>
      <c r="I10" s="152"/>
      <c r="J10" s="197"/>
      <c r="K10" s="3"/>
      <c r="L10" s="3"/>
      <c r="M10" s="3"/>
      <c r="N10" s="3"/>
    </row>
    <row r="11" spans="1:14" ht="24.95" customHeight="1" x14ac:dyDescent="0.2">
      <c r="A11" s="195"/>
      <c r="B11" s="3"/>
      <c r="C11" s="152"/>
      <c r="D11" s="196"/>
      <c r="E11" s="49"/>
      <c r="F11" s="49"/>
      <c r="G11" s="49"/>
      <c r="H11" s="49"/>
      <c r="I11" s="152"/>
      <c r="J11" s="197"/>
      <c r="K11" s="3"/>
      <c r="L11" s="3"/>
      <c r="M11" s="3"/>
      <c r="N11" s="3"/>
    </row>
    <row r="12" spans="1:14" ht="24.95" customHeight="1" x14ac:dyDescent="0.2">
      <c r="A12" s="195"/>
      <c r="B12" s="482" t="s">
        <v>254</v>
      </c>
      <c r="C12" s="482"/>
      <c r="D12" s="482"/>
      <c r="E12" s="482"/>
      <c r="F12" s="482"/>
      <c r="G12" s="49"/>
      <c r="H12" s="49"/>
      <c r="I12" s="152"/>
      <c r="J12" s="197"/>
      <c r="K12" s="3"/>
      <c r="L12" s="3"/>
      <c r="M12" s="3"/>
      <c r="N12" s="3"/>
    </row>
    <row r="13" spans="1:14" ht="24.95" customHeight="1" x14ac:dyDescent="0.2">
      <c r="A13" s="195"/>
      <c r="B13" s="256"/>
      <c r="C13" s="256"/>
      <c r="D13" s="256"/>
      <c r="E13" s="256"/>
      <c r="F13" s="256"/>
      <c r="G13" s="49"/>
      <c r="H13" s="49"/>
      <c r="I13" s="152"/>
      <c r="J13" s="197"/>
      <c r="K13" s="3"/>
      <c r="L13" s="3"/>
      <c r="M13" s="3"/>
      <c r="N13" s="3"/>
    </row>
    <row r="14" spans="1:14" ht="29.45" customHeight="1" x14ac:dyDescent="0.2">
      <c r="A14" s="6"/>
      <c r="B14" s="192" t="s">
        <v>127</v>
      </c>
      <c r="C14" s="192" t="s">
        <v>179</v>
      </c>
      <c r="D14" s="192" t="s">
        <v>232</v>
      </c>
      <c r="E14" s="192" t="s">
        <v>180</v>
      </c>
      <c r="F14" s="192" t="s">
        <v>216</v>
      </c>
      <c r="G14" s="192" t="s">
        <v>181</v>
      </c>
      <c r="H14" s="192" t="s">
        <v>126</v>
      </c>
      <c r="I14" s="192" t="s">
        <v>20</v>
      </c>
      <c r="J14" s="192" t="s">
        <v>234</v>
      </c>
      <c r="K14" s="192" t="s">
        <v>114</v>
      </c>
      <c r="L14" s="166" t="s">
        <v>182</v>
      </c>
      <c r="M14" s="166" t="s">
        <v>225</v>
      </c>
      <c r="N14" s="166" t="s">
        <v>183</v>
      </c>
    </row>
    <row r="15" spans="1:14" ht="80.099999999999994" customHeight="1" x14ac:dyDescent="0.2">
      <c r="A15" s="468" t="s">
        <v>221</v>
      </c>
      <c r="B15" s="470">
        <v>1161841.8999999999</v>
      </c>
      <c r="C15" s="472" t="s">
        <v>52</v>
      </c>
      <c r="D15" s="474">
        <v>45639</v>
      </c>
      <c r="E15" s="470">
        <v>847567.11</v>
      </c>
      <c r="F15" s="470">
        <f>E15</f>
        <v>847567.11</v>
      </c>
      <c r="G15" s="26">
        <v>400000</v>
      </c>
      <c r="H15" s="150">
        <v>2024</v>
      </c>
      <c r="I15" s="54" t="s">
        <v>131</v>
      </c>
      <c r="J15" s="10">
        <v>45636</v>
      </c>
      <c r="K15" s="54" t="s">
        <v>233</v>
      </c>
      <c r="L15" s="483">
        <f>G15+G16</f>
        <v>700000</v>
      </c>
      <c r="M15" s="470">
        <v>44608.800000000003</v>
      </c>
      <c r="N15" s="483">
        <f>F15-L15</f>
        <v>147567.10999999999</v>
      </c>
    </row>
    <row r="16" spans="1:14" ht="41.45" customHeight="1" x14ac:dyDescent="0.2">
      <c r="A16" s="469"/>
      <c r="B16" s="471"/>
      <c r="C16" s="473"/>
      <c r="D16" s="475"/>
      <c r="E16" s="471"/>
      <c r="F16" s="471"/>
      <c r="G16" s="26">
        <v>300000</v>
      </c>
      <c r="H16" s="26">
        <v>2025</v>
      </c>
      <c r="I16" s="54" t="s">
        <v>131</v>
      </c>
      <c r="J16" s="10">
        <v>45841</v>
      </c>
      <c r="K16" s="9"/>
      <c r="L16" s="485"/>
      <c r="M16" s="471"/>
      <c r="N16" s="485"/>
    </row>
    <row r="20" spans="1:14" ht="24.6" customHeight="1" x14ac:dyDescent="0.2">
      <c r="A20" s="195"/>
      <c r="B20" s="482" t="s">
        <v>255</v>
      </c>
      <c r="C20" s="482"/>
      <c r="D20" s="482"/>
      <c r="E20" s="482"/>
      <c r="F20" s="482"/>
      <c r="G20" s="49"/>
      <c r="H20" s="49"/>
      <c r="I20" s="152"/>
      <c r="J20" s="197"/>
      <c r="K20" s="3"/>
      <c r="L20" s="3"/>
      <c r="M20" s="3"/>
      <c r="N20" s="3"/>
    </row>
    <row r="21" spans="1:14" x14ac:dyDescent="0.2">
      <c r="A21" s="195"/>
      <c r="B21" s="256"/>
      <c r="C21" s="256"/>
      <c r="D21" s="256"/>
      <c r="E21" s="256"/>
      <c r="F21" s="256"/>
      <c r="G21" s="49"/>
      <c r="H21" s="49"/>
      <c r="I21" s="152"/>
      <c r="J21" s="197"/>
      <c r="K21" s="3"/>
      <c r="L21" s="3"/>
      <c r="M21" s="3"/>
      <c r="N21" s="3"/>
    </row>
    <row r="22" spans="1:14" ht="30" x14ac:dyDescent="0.2">
      <c r="A22" s="6"/>
      <c r="B22" s="192" t="s">
        <v>127</v>
      </c>
      <c r="C22" s="192" t="s">
        <v>179</v>
      </c>
      <c r="D22" s="192" t="s">
        <v>232</v>
      </c>
      <c r="E22" s="192" t="s">
        <v>180</v>
      </c>
      <c r="F22" s="192" t="s">
        <v>216</v>
      </c>
      <c r="G22" s="192" t="s">
        <v>181</v>
      </c>
      <c r="H22" s="192" t="s">
        <v>126</v>
      </c>
      <c r="I22" s="192" t="s">
        <v>20</v>
      </c>
      <c r="J22" s="192" t="s">
        <v>234</v>
      </c>
      <c r="K22" s="192" t="s">
        <v>114</v>
      </c>
      <c r="L22" s="166" t="s">
        <v>182</v>
      </c>
      <c r="M22" s="166" t="s">
        <v>225</v>
      </c>
      <c r="N22" s="166" t="s">
        <v>183</v>
      </c>
    </row>
    <row r="23" spans="1:14" ht="77.45" customHeight="1" x14ac:dyDescent="0.2">
      <c r="A23" s="193" t="s">
        <v>221</v>
      </c>
      <c r="B23" s="9"/>
      <c r="C23" s="54" t="s">
        <v>52</v>
      </c>
      <c r="D23" s="194">
        <v>45701</v>
      </c>
      <c r="E23" s="26">
        <v>450000</v>
      </c>
      <c r="F23" s="26">
        <f>E23</f>
        <v>450000</v>
      </c>
      <c r="G23" s="26"/>
      <c r="H23" s="150">
        <v>2024</v>
      </c>
      <c r="I23" s="54" t="s">
        <v>131</v>
      </c>
      <c r="J23" s="10"/>
      <c r="K23" s="54" t="s">
        <v>233</v>
      </c>
      <c r="L23" s="151">
        <f>G23</f>
        <v>0</v>
      </c>
      <c r="M23" s="26"/>
      <c r="N23" s="151">
        <f>F23-L23</f>
        <v>450000</v>
      </c>
    </row>
    <row r="24" spans="1:14" x14ac:dyDescent="0.2">
      <c r="A24" s="195"/>
      <c r="B24" s="3"/>
      <c r="C24" s="152"/>
      <c r="D24" s="196"/>
      <c r="E24" s="49"/>
      <c r="F24" s="49"/>
      <c r="G24" s="49"/>
      <c r="H24" s="49"/>
      <c r="I24" s="152"/>
      <c r="J24" s="197"/>
      <c r="K24" s="3"/>
      <c r="L24" s="3"/>
      <c r="M24" s="152" t="s">
        <v>258</v>
      </c>
      <c r="N24" s="261">
        <f>N23+N15+N7</f>
        <v>931456.27999999991</v>
      </c>
    </row>
  </sheetData>
  <mergeCells count="23">
    <mergeCell ref="B20:F20"/>
    <mergeCell ref="M7:M9"/>
    <mergeCell ref="N7:N9"/>
    <mergeCell ref="L7:L9"/>
    <mergeCell ref="G7:G9"/>
    <mergeCell ref="J7:J9"/>
    <mergeCell ref="K7:K9"/>
    <mergeCell ref="B12:F12"/>
    <mergeCell ref="F15:F16"/>
    <mergeCell ref="L15:L16"/>
    <mergeCell ref="M15:M16"/>
    <mergeCell ref="N15:N16"/>
    <mergeCell ref="A1:I2"/>
    <mergeCell ref="B3:I3"/>
    <mergeCell ref="F7:F9"/>
    <mergeCell ref="B7:B9"/>
    <mergeCell ref="A7:A9"/>
    <mergeCell ref="H7:H8"/>
    <mergeCell ref="A15:A16"/>
    <mergeCell ref="B15:B16"/>
    <mergeCell ref="C15:C16"/>
    <mergeCell ref="D15:D16"/>
    <mergeCell ref="E15:E16"/>
  </mergeCells>
  <phoneticPr fontId="15" type="noConversion"/>
  <pageMargins left="0.7" right="0.7" top="0.75" bottom="0.75" header="0.3" footer="0.3"/>
  <pageSetup paperSize="9" scale="63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92D050"/>
    <pageSetUpPr fitToPage="1"/>
  </sheetPr>
  <dimension ref="A5:P34"/>
  <sheetViews>
    <sheetView topLeftCell="A4" zoomScale="59" zoomScaleNormal="90" workbookViewId="0">
      <selection activeCell="N30" sqref="N30:N31"/>
    </sheetView>
  </sheetViews>
  <sheetFormatPr baseColWidth="10" defaultRowHeight="12.75" x14ac:dyDescent="0.2"/>
  <cols>
    <col min="2" max="3" width="14.33203125" customWidth="1"/>
    <col min="4" max="4" width="14.1640625" customWidth="1"/>
    <col min="5" max="5" width="17.33203125" customWidth="1"/>
    <col min="6" max="6" width="17.33203125" style="56" customWidth="1"/>
    <col min="7" max="7" width="22.5" style="271" customWidth="1"/>
    <col min="8" max="8" width="15" customWidth="1"/>
    <col min="9" max="9" width="18.1640625" style="19" customWidth="1"/>
    <col min="10" max="10" width="15.33203125" customWidth="1"/>
    <col min="11" max="11" width="13.33203125" customWidth="1"/>
    <col min="12" max="12" width="14.6640625" customWidth="1"/>
    <col min="13" max="13" width="18.1640625" customWidth="1"/>
    <col min="14" max="14" width="16.33203125" customWidth="1"/>
    <col min="15" max="15" width="18.83203125" customWidth="1"/>
    <col min="16" max="16" width="39.83203125" customWidth="1"/>
  </cols>
  <sheetData>
    <row r="5" spans="1:14" ht="22.5" customHeight="1" x14ac:dyDescent="0.2">
      <c r="A5" s="3"/>
      <c r="B5" s="3"/>
      <c r="C5" s="324" t="s">
        <v>236</v>
      </c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</row>
    <row r="6" spans="1:14" ht="22.5" customHeight="1" x14ac:dyDescent="0.2">
      <c r="A6" s="3"/>
      <c r="B6" s="3"/>
      <c r="C6" s="505" t="s">
        <v>110</v>
      </c>
      <c r="D6" s="505"/>
      <c r="E6" s="505"/>
      <c r="F6" s="505"/>
      <c r="G6" s="505"/>
      <c r="H6" s="505"/>
      <c r="I6" s="505"/>
      <c r="J6" s="505"/>
      <c r="K6" s="505"/>
      <c r="L6" s="505"/>
      <c r="M6" s="505"/>
      <c r="N6" s="505"/>
    </row>
    <row r="7" spans="1:14" ht="24.6" customHeight="1" x14ac:dyDescent="0.25">
      <c r="A7" s="517"/>
      <c r="B7" s="506"/>
      <c r="C7" s="506"/>
      <c r="D7" s="506"/>
      <c r="E7" s="506"/>
      <c r="F7" s="506"/>
      <c r="G7" s="506"/>
      <c r="H7" s="506"/>
      <c r="I7" s="506"/>
      <c r="J7" s="506"/>
      <c r="K7" s="506"/>
      <c r="L7" s="506"/>
      <c r="M7" s="506"/>
      <c r="N7" s="13"/>
    </row>
    <row r="8" spans="1:14" ht="41.1" customHeight="1" x14ac:dyDescent="0.25">
      <c r="A8" s="6"/>
      <c r="B8" s="12" t="s">
        <v>16</v>
      </c>
      <c r="C8" s="12" t="s">
        <v>242</v>
      </c>
      <c r="D8" s="12" t="s">
        <v>213</v>
      </c>
      <c r="E8" s="12" t="s">
        <v>243</v>
      </c>
      <c r="F8" s="270" t="s">
        <v>230</v>
      </c>
      <c r="G8" s="267" t="s">
        <v>5</v>
      </c>
      <c r="H8" s="515" t="s">
        <v>10</v>
      </c>
      <c r="I8" s="516"/>
      <c r="J8" s="17" t="s">
        <v>20</v>
      </c>
      <c r="K8" s="108" t="s">
        <v>13</v>
      </c>
      <c r="L8" s="15" t="s">
        <v>227</v>
      </c>
      <c r="M8" s="32" t="s">
        <v>248</v>
      </c>
      <c r="N8" s="8"/>
    </row>
    <row r="9" spans="1:14" ht="44.45" customHeight="1" x14ac:dyDescent="0.2">
      <c r="A9" s="502" t="s">
        <v>237</v>
      </c>
      <c r="B9" s="470">
        <v>3598545.08</v>
      </c>
      <c r="C9" s="383" t="s">
        <v>52</v>
      </c>
      <c r="D9" s="510">
        <v>45622</v>
      </c>
      <c r="E9" s="507">
        <v>2961187.82</v>
      </c>
      <c r="F9" s="498">
        <v>3117039.81</v>
      </c>
      <c r="G9" s="268">
        <v>45460</v>
      </c>
      <c r="H9" s="7" t="s">
        <v>11</v>
      </c>
      <c r="I9" s="147">
        <v>1400000</v>
      </c>
      <c r="J9" s="198" t="s">
        <v>26</v>
      </c>
      <c r="K9" s="470">
        <f>SUM(I9:J13)</f>
        <v>2959854</v>
      </c>
      <c r="L9" s="470">
        <f>F9*0.05</f>
        <v>155851.99050000001</v>
      </c>
      <c r="M9" s="470">
        <f>E9-K9</f>
        <v>1333.8199999998324</v>
      </c>
      <c r="N9" s="113"/>
    </row>
    <row r="10" spans="1:14" ht="36" customHeight="1" x14ac:dyDescent="0.2">
      <c r="A10" s="503"/>
      <c r="B10" s="477"/>
      <c r="C10" s="384"/>
      <c r="D10" s="511"/>
      <c r="E10" s="508"/>
      <c r="F10" s="498"/>
      <c r="G10" s="268">
        <v>45469</v>
      </c>
      <c r="H10" s="7" t="s">
        <v>111</v>
      </c>
      <c r="I10" s="26">
        <v>359854</v>
      </c>
      <c r="J10" s="148" t="s">
        <v>26</v>
      </c>
      <c r="K10" s="477"/>
      <c r="L10" s="477"/>
      <c r="M10" s="477"/>
    </row>
    <row r="11" spans="1:14" ht="26.1" customHeight="1" x14ac:dyDescent="0.2">
      <c r="A11" s="503"/>
      <c r="B11" s="477"/>
      <c r="C11" s="384"/>
      <c r="D11" s="511"/>
      <c r="E11" s="508"/>
      <c r="F11" s="498"/>
      <c r="G11" s="269">
        <v>45467</v>
      </c>
      <c r="H11" s="7" t="s">
        <v>54</v>
      </c>
      <c r="I11" s="147">
        <v>80000</v>
      </c>
      <c r="J11" s="198" t="s">
        <v>15</v>
      </c>
      <c r="K11" s="477"/>
      <c r="L11" s="477"/>
      <c r="M11" s="477"/>
    </row>
    <row r="12" spans="1:14" ht="29.45" customHeight="1" x14ac:dyDescent="0.2">
      <c r="A12" s="503"/>
      <c r="B12" s="477"/>
      <c r="C12" s="384"/>
      <c r="D12" s="511"/>
      <c r="E12" s="508"/>
      <c r="F12" s="498"/>
      <c r="G12" s="268">
        <v>45526</v>
      </c>
      <c r="H12" s="7" t="s">
        <v>55</v>
      </c>
      <c r="I12" s="147">
        <v>500000</v>
      </c>
      <c r="J12" s="198" t="s">
        <v>15</v>
      </c>
      <c r="K12" s="477"/>
      <c r="L12" s="477"/>
      <c r="M12" s="477"/>
    </row>
    <row r="13" spans="1:14" ht="42" customHeight="1" x14ac:dyDescent="0.2">
      <c r="A13" s="504"/>
      <c r="B13" s="471"/>
      <c r="C13" s="384"/>
      <c r="D13" s="512"/>
      <c r="E13" s="509"/>
      <c r="F13" s="498"/>
      <c r="G13" s="297">
        <v>45630</v>
      </c>
      <c r="H13" s="298" t="s">
        <v>56</v>
      </c>
      <c r="I13" s="299">
        <v>620000</v>
      </c>
      <c r="J13" s="148" t="s">
        <v>15</v>
      </c>
      <c r="K13" s="471"/>
      <c r="L13" s="471"/>
      <c r="M13" s="471"/>
      <c r="N13" s="278" t="s">
        <v>270</v>
      </c>
    </row>
    <row r="17" spans="1:16" x14ac:dyDescent="0.2">
      <c r="A17" s="3"/>
      <c r="B17" s="3"/>
      <c r="C17" s="324" t="s">
        <v>109</v>
      </c>
      <c r="D17" s="324"/>
      <c r="E17" s="324"/>
      <c r="F17" s="324"/>
      <c r="G17" s="324"/>
      <c r="H17" s="324"/>
      <c r="I17" s="324"/>
      <c r="J17" s="324"/>
      <c r="K17" s="324"/>
      <c r="L17" s="324"/>
      <c r="M17" s="324"/>
    </row>
    <row r="18" spans="1:16" x14ac:dyDescent="0.2">
      <c r="A18" s="3"/>
      <c r="B18" s="3"/>
      <c r="C18" s="505" t="s">
        <v>112</v>
      </c>
      <c r="D18" s="505"/>
      <c r="E18" s="505"/>
      <c r="F18" s="505"/>
      <c r="G18" s="505"/>
      <c r="H18" s="505"/>
      <c r="I18" s="505"/>
      <c r="J18" s="505"/>
      <c r="K18" s="505"/>
      <c r="L18" s="505"/>
      <c r="M18" s="505"/>
    </row>
    <row r="19" spans="1:16" ht="18.95" customHeight="1" x14ac:dyDescent="0.25">
      <c r="E19" s="506"/>
      <c r="F19" s="506"/>
      <c r="G19" s="506"/>
      <c r="H19" s="506"/>
      <c r="I19" s="506"/>
      <c r="J19" s="506"/>
      <c r="K19" s="506"/>
      <c r="L19" s="506"/>
      <c r="M19" s="506"/>
    </row>
    <row r="20" spans="1:16" ht="46.5" customHeight="1" x14ac:dyDescent="0.2">
      <c r="A20" s="6"/>
      <c r="B20" s="6"/>
      <c r="C20" s="12" t="s">
        <v>16</v>
      </c>
      <c r="D20" s="12" t="s">
        <v>242</v>
      </c>
      <c r="E20" s="12" t="s">
        <v>243</v>
      </c>
      <c r="F20" s="273" t="s">
        <v>5</v>
      </c>
      <c r="G20" s="272" t="s">
        <v>230</v>
      </c>
      <c r="H20" s="237" t="s">
        <v>10</v>
      </c>
      <c r="I20" s="103"/>
      <c r="J20" s="17" t="s">
        <v>20</v>
      </c>
      <c r="K20" s="16"/>
      <c r="L20" s="17" t="s">
        <v>13</v>
      </c>
      <c r="M20" s="12" t="s">
        <v>227</v>
      </c>
      <c r="N20" s="32" t="s">
        <v>222</v>
      </c>
      <c r="O20" s="122" t="s">
        <v>262</v>
      </c>
    </row>
    <row r="21" spans="1:16" ht="46.5" customHeight="1" x14ac:dyDescent="0.2">
      <c r="A21" s="520" t="s">
        <v>237</v>
      </c>
      <c r="B21" s="494" t="s">
        <v>239</v>
      </c>
      <c r="C21" s="518">
        <v>1314000</v>
      </c>
      <c r="D21" s="54" t="s">
        <v>52</v>
      </c>
      <c r="E21" s="26">
        <v>668800</v>
      </c>
      <c r="F21" s="10">
        <v>45412</v>
      </c>
      <c r="G21" s="498">
        <f>E21+E22+E24+E25</f>
        <v>1058120</v>
      </c>
      <c r="H21" s="300" t="s">
        <v>11</v>
      </c>
      <c r="I21" s="299">
        <v>700000</v>
      </c>
      <c r="J21" s="519" t="s">
        <v>15</v>
      </c>
      <c r="K21" s="238"/>
      <c r="L21" s="470">
        <f>I21+I22</f>
        <v>925000</v>
      </c>
      <c r="M21" s="470">
        <v>46246</v>
      </c>
      <c r="N21" s="470">
        <f>G21-L21</f>
        <v>133120</v>
      </c>
      <c r="O21" s="483">
        <f>G21-L21+M21</f>
        <v>179366</v>
      </c>
      <c r="P21" s="278" t="s">
        <v>263</v>
      </c>
    </row>
    <row r="22" spans="1:16" ht="33.950000000000003" customHeight="1" x14ac:dyDescent="0.2">
      <c r="A22" s="520"/>
      <c r="B22" s="494"/>
      <c r="C22" s="518"/>
      <c r="D22" s="383" t="s">
        <v>53</v>
      </c>
      <c r="E22" s="498">
        <v>256120</v>
      </c>
      <c r="F22" s="497">
        <v>45424</v>
      </c>
      <c r="G22" s="498"/>
      <c r="H22" s="513" t="s">
        <v>12</v>
      </c>
      <c r="I22" s="514">
        <v>225000</v>
      </c>
      <c r="J22" s="519"/>
      <c r="K22" s="239"/>
      <c r="L22" s="477"/>
      <c r="M22" s="477"/>
      <c r="N22" s="477"/>
      <c r="O22" s="484"/>
      <c r="P22" s="278" t="s">
        <v>263</v>
      </c>
    </row>
    <row r="23" spans="1:16" ht="36" customHeight="1" x14ac:dyDescent="0.2">
      <c r="A23" s="520"/>
      <c r="B23" s="494"/>
      <c r="C23" s="518"/>
      <c r="D23" s="383"/>
      <c r="E23" s="498"/>
      <c r="F23" s="497"/>
      <c r="G23" s="498"/>
      <c r="H23" s="513"/>
      <c r="I23" s="514"/>
      <c r="J23" s="519"/>
      <c r="K23" s="239"/>
      <c r="L23" s="477"/>
      <c r="M23" s="477"/>
      <c r="N23" s="477"/>
      <c r="O23" s="484"/>
    </row>
    <row r="24" spans="1:16" ht="54.6" customHeight="1" x14ac:dyDescent="0.2">
      <c r="A24" s="520"/>
      <c r="B24" s="170" t="s">
        <v>238</v>
      </c>
      <c r="C24" s="518"/>
      <c r="D24" s="6"/>
      <c r="E24" s="26">
        <v>115200</v>
      </c>
      <c r="F24" s="10"/>
      <c r="G24" s="498"/>
      <c r="H24" s="9"/>
      <c r="I24" s="62"/>
      <c r="J24" s="519"/>
      <c r="K24" s="6"/>
      <c r="L24" s="477"/>
      <c r="M24" s="477"/>
      <c r="N24" s="477"/>
      <c r="O24" s="484"/>
    </row>
    <row r="25" spans="1:16" ht="62.1" customHeight="1" x14ac:dyDescent="0.2">
      <c r="A25" s="520"/>
      <c r="B25" s="170" t="s">
        <v>240</v>
      </c>
      <c r="C25" s="518"/>
      <c r="D25" s="6"/>
      <c r="E25" s="26">
        <v>18000</v>
      </c>
      <c r="F25" s="10"/>
      <c r="G25" s="498"/>
      <c r="H25" s="9"/>
      <c r="I25" s="59" t="s">
        <v>0</v>
      </c>
      <c r="J25" s="519"/>
      <c r="K25" s="6"/>
      <c r="L25" s="471"/>
      <c r="M25" s="471"/>
      <c r="N25" s="471"/>
      <c r="O25" s="485"/>
    </row>
    <row r="26" spans="1:16" ht="38.450000000000003" customHeight="1" x14ac:dyDescent="0.2"/>
    <row r="27" spans="1:16" ht="37.5" customHeight="1" x14ac:dyDescent="0.2">
      <c r="D27" s="492" t="s">
        <v>271</v>
      </c>
      <c r="E27" s="493"/>
      <c r="F27" s="493"/>
      <c r="G27" s="493"/>
      <c r="H27" s="493"/>
      <c r="I27" s="493"/>
      <c r="J27" s="493"/>
      <c r="K27" s="493"/>
      <c r="L27" s="493"/>
    </row>
    <row r="28" spans="1:16" ht="113.45" customHeight="1" x14ac:dyDescent="0.2">
      <c r="A28" s="502" t="s">
        <v>237</v>
      </c>
      <c r="B28" s="170" t="s">
        <v>241</v>
      </c>
      <c r="C28" s="54" t="s">
        <v>261</v>
      </c>
      <c r="D28" s="54" t="s">
        <v>264</v>
      </c>
      <c r="E28" s="224"/>
      <c r="F28" s="301">
        <v>45662</v>
      </c>
      <c r="G28" s="26"/>
      <c r="H28" s="308" t="s">
        <v>275</v>
      </c>
      <c r="I28" s="299">
        <v>2388000</v>
      </c>
      <c r="J28" s="244" t="s">
        <v>128</v>
      </c>
      <c r="K28" s="240"/>
      <c r="L28" s="26"/>
      <c r="M28" s="26"/>
      <c r="N28" s="26"/>
      <c r="O28" s="9"/>
      <c r="P28" s="306" t="s">
        <v>263</v>
      </c>
    </row>
    <row r="29" spans="1:16" ht="90.6" customHeight="1" x14ac:dyDescent="0.2">
      <c r="A29" s="503"/>
      <c r="B29" s="170" t="s">
        <v>274</v>
      </c>
      <c r="C29" s="54" t="s">
        <v>261</v>
      </c>
      <c r="D29" s="54" t="s">
        <v>264</v>
      </c>
      <c r="E29" s="6"/>
      <c r="F29" s="10">
        <v>45739</v>
      </c>
      <c r="G29" s="302"/>
      <c r="H29" s="54" t="s">
        <v>55</v>
      </c>
      <c r="I29" s="26">
        <v>200000</v>
      </c>
      <c r="J29" s="244" t="s">
        <v>128</v>
      </c>
      <c r="K29" s="6"/>
      <c r="L29" s="302"/>
      <c r="M29" s="302"/>
      <c r="N29" s="6"/>
      <c r="O29" s="303"/>
    </row>
    <row r="30" spans="1:16" ht="90" customHeight="1" x14ac:dyDescent="0.2">
      <c r="A30" s="503"/>
      <c r="B30" s="499" t="s">
        <v>273</v>
      </c>
      <c r="C30" s="383" t="s">
        <v>261</v>
      </c>
      <c r="D30" s="384" t="s">
        <v>264</v>
      </c>
      <c r="E30" s="495"/>
      <c r="F30" s="497">
        <v>45775</v>
      </c>
      <c r="G30" s="496"/>
      <c r="H30" s="383" t="s">
        <v>56</v>
      </c>
      <c r="I30" s="498">
        <v>800000</v>
      </c>
      <c r="J30" s="500" t="s">
        <v>128</v>
      </c>
      <c r="K30" s="495"/>
      <c r="L30" s="495"/>
      <c r="M30" s="495"/>
      <c r="N30" s="495"/>
      <c r="O30" s="495"/>
    </row>
    <row r="31" spans="1:16" ht="63" customHeight="1" x14ac:dyDescent="0.2">
      <c r="A31" s="504"/>
      <c r="B31" s="499"/>
      <c r="C31" s="384"/>
      <c r="D31" s="384"/>
      <c r="E31" s="495"/>
      <c r="F31" s="497"/>
      <c r="G31" s="496"/>
      <c r="H31" s="383"/>
      <c r="I31" s="498"/>
      <c r="J31" s="501"/>
      <c r="K31" s="495"/>
      <c r="L31" s="495"/>
      <c r="M31" s="495"/>
      <c r="N31" s="495"/>
      <c r="O31" s="495"/>
    </row>
    <row r="32" spans="1:16" ht="54.6" customHeight="1" x14ac:dyDescent="0.2">
      <c r="G32" s="307"/>
      <c r="I32" s="49"/>
    </row>
    <row r="33" spans="7:9" x14ac:dyDescent="0.2">
      <c r="G33" s="307"/>
      <c r="I33" s="49"/>
    </row>
    <row r="34" spans="7:9" x14ac:dyDescent="0.2">
      <c r="G34" s="307"/>
      <c r="I34" s="49"/>
    </row>
  </sheetData>
  <mergeCells count="46">
    <mergeCell ref="M21:M25"/>
    <mergeCell ref="N21:N25"/>
    <mergeCell ref="L21:L25"/>
    <mergeCell ref="O21:O25"/>
    <mergeCell ref="C5:N5"/>
    <mergeCell ref="C6:N6"/>
    <mergeCell ref="H8:I8"/>
    <mergeCell ref="A7:M7"/>
    <mergeCell ref="B9:B13"/>
    <mergeCell ref="M9:M13"/>
    <mergeCell ref="C21:C25"/>
    <mergeCell ref="G21:G25"/>
    <mergeCell ref="J21:J25"/>
    <mergeCell ref="A21:A25"/>
    <mergeCell ref="A28:A31"/>
    <mergeCell ref="C17:M17"/>
    <mergeCell ref="C18:M18"/>
    <mergeCell ref="E19:M19"/>
    <mergeCell ref="C9:C13"/>
    <mergeCell ref="F9:F13"/>
    <mergeCell ref="E9:E13"/>
    <mergeCell ref="D9:D13"/>
    <mergeCell ref="A9:A13"/>
    <mergeCell ref="K9:K13"/>
    <mergeCell ref="L9:L13"/>
    <mergeCell ref="D22:D23"/>
    <mergeCell ref="E22:E23"/>
    <mergeCell ref="F22:F23"/>
    <mergeCell ref="H22:H23"/>
    <mergeCell ref="I22:I23"/>
    <mergeCell ref="D27:L27"/>
    <mergeCell ref="B21:B23"/>
    <mergeCell ref="M30:M31"/>
    <mergeCell ref="N30:N31"/>
    <mergeCell ref="O30:O31"/>
    <mergeCell ref="G30:G31"/>
    <mergeCell ref="F30:F31"/>
    <mergeCell ref="H30:H31"/>
    <mergeCell ref="I30:I31"/>
    <mergeCell ref="K30:K31"/>
    <mergeCell ref="L30:L31"/>
    <mergeCell ref="B30:B31"/>
    <mergeCell ref="C30:C31"/>
    <mergeCell ref="E30:E31"/>
    <mergeCell ref="D30:D31"/>
    <mergeCell ref="J30:J31"/>
  </mergeCells>
  <phoneticPr fontId="15" type="noConversion"/>
  <pageMargins left="0.7" right="0.7" top="0.75" bottom="0.75" header="0.3" footer="0.3"/>
  <pageSetup paperSize="9" scale="52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15</vt:i4>
      </vt:variant>
      <vt:variant>
        <vt:lpstr>Plages nommées</vt:lpstr>
      </vt:variant>
      <vt:variant>
        <vt:i4>5</vt:i4>
      </vt:variant>
    </vt:vector>
  </HeadingPairs>
  <TitlesOfParts>
    <vt:vector size="20" baseType="lpstr">
      <vt:lpstr>AYTUNC</vt:lpstr>
      <vt:lpstr>AYTUNC VRD esp</vt:lpstr>
      <vt:lpstr>meziani </vt:lpstr>
      <vt:lpstr>BELAIDI MOHAMED RIADH</vt:lpstr>
      <vt:lpstr>TELMAT</vt:lpstr>
      <vt:lpstr>BENHADAD </vt:lpstr>
      <vt:lpstr>parabole</vt:lpstr>
      <vt:lpstr>MONOCOUCHE SID</vt:lpstr>
      <vt:lpstr>OXXO</vt:lpstr>
      <vt:lpstr>edoor</vt:lpstr>
      <vt:lpstr> BIMHA  construction PEINTURE </vt:lpstr>
      <vt:lpstr>BIMHA TERRASSSEMENT</vt:lpstr>
      <vt:lpstr>RAFFA LAHCEN</vt:lpstr>
      <vt:lpstr>BELAIDI NOUR EDDINE</vt:lpstr>
      <vt:lpstr>RAMMAS PASSEREL</vt:lpstr>
      <vt:lpstr>' BIMHA  construction PEINTURE '!Zone_d_impression</vt:lpstr>
      <vt:lpstr>'AYTUNC VRD esp'!Zone_d_impression</vt:lpstr>
      <vt:lpstr>'BELAIDI NOUR EDDINE'!Zone_d_impression</vt:lpstr>
      <vt:lpstr>'meziani '!Zone_d_impression</vt:lpstr>
      <vt:lpstr>'RAFFA LAHCEN'!Zone_d_impression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2025-07-15T10:57:55Z</cp:lastPrinted>
  <dcterms:created xsi:type="dcterms:W3CDTF">2023-12-18T09:05:20Z</dcterms:created>
  <dcterms:modified xsi:type="dcterms:W3CDTF">2025-07-22T14:46:01Z</dcterms:modified>
</cp:coreProperties>
</file>