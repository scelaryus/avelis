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RL ELITE PROMOTION\"/>
    </mc:Choice>
  </mc:AlternateContent>
  <xr:revisionPtr revIDLastSave="0" documentId="13_ncr:1_{094D745E-C4D2-4778-9896-678C39B5B27F}" xr6:coauthVersionLast="47" xr6:coauthVersionMax="47" xr10:uidLastSave="{00000000-0000-0000-0000-000000000000}"/>
  <bookViews>
    <workbookView xWindow="-120" yWindow="-120" windowWidth="20730" windowHeight="11160" xr2:uid="{71252CFA-C0E8-4516-89D8-6257EFE6AC0C}"/>
  </bookViews>
  <sheets>
    <sheet name="RECAP TVA 2023 YAZID " sheetId="4" r:id="rId1"/>
    <sheet name="Feuil1" sheetId="5" r:id="rId2"/>
    <sheet name="RECAP TVA 2023 MADANI" sheetId="1" r:id="rId3"/>
    <sheet name="MADANI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4" l="1"/>
  <c r="L16" i="4"/>
  <c r="K91" i="4"/>
  <c r="K90" i="4"/>
  <c r="H177" i="4"/>
  <c r="H133" i="4"/>
  <c r="M78" i="1"/>
  <c r="M76" i="1"/>
  <c r="M77" i="1"/>
  <c r="H10" i="4"/>
  <c r="M126" i="4" s="1"/>
  <c r="L128" i="4" s="1"/>
  <c r="H118" i="1"/>
  <c r="L133" i="4" l="1"/>
  <c r="J23" i="2"/>
</calcChain>
</file>

<file path=xl/sharedStrings.xml><?xml version="1.0" encoding="utf-8"?>
<sst xmlns="http://schemas.openxmlformats.org/spreadsheetml/2006/main" count="1042" uniqueCount="384">
  <si>
    <t>PIECE</t>
  </si>
  <si>
    <t>JOURNAL</t>
  </si>
  <si>
    <t>FOLIO</t>
  </si>
  <si>
    <t>N° LIGNE</t>
  </si>
  <si>
    <t>DATE</t>
  </si>
  <si>
    <t>REFERENCE</t>
  </si>
  <si>
    <t>LIBELLE</t>
  </si>
  <si>
    <t>COCHE</t>
  </si>
  <si>
    <t>DEBIT</t>
  </si>
  <si>
    <t xml:space="preserve">ACH           </t>
  </si>
  <si>
    <t>FACT 01/2023</t>
  </si>
  <si>
    <t>FACTURE JANVIER 01/2023 djezzy</t>
  </si>
  <si>
    <t>Non</t>
  </si>
  <si>
    <t>FACT 03/2023</t>
  </si>
  <si>
    <t>djezzy</t>
  </si>
  <si>
    <t xml:space="preserve">CNP           </t>
  </si>
  <si>
    <t xml:space="preserve">            </t>
  </si>
  <si>
    <t>FRAIS BANCAIRE</t>
  </si>
  <si>
    <t xml:space="preserve">FN°013      </t>
  </si>
  <si>
    <t>sarl sogatraf</t>
  </si>
  <si>
    <t xml:space="preserve">FN°         </t>
  </si>
  <si>
    <t>DJEZZY SEPT 2023</t>
  </si>
  <si>
    <t>DJEZZY FEV  2023</t>
  </si>
  <si>
    <t xml:space="preserve">FN°34/2023  </t>
  </si>
  <si>
    <t>eurl fabrication</t>
  </si>
  <si>
    <t>GAZ</t>
  </si>
  <si>
    <t xml:space="preserve">F05/2023    </t>
  </si>
  <si>
    <t>twins multimidia</t>
  </si>
  <si>
    <t xml:space="preserve">23F0030     </t>
  </si>
  <si>
    <t>elite market</t>
  </si>
  <si>
    <t>SONELGAZ</t>
  </si>
  <si>
    <t>DJEZZY AVRIL 2023</t>
  </si>
  <si>
    <t xml:space="preserve">FA039/2023  </t>
  </si>
  <si>
    <t>busnesse office stationry</t>
  </si>
  <si>
    <t xml:space="preserve">F23/000150  </t>
  </si>
  <si>
    <t>sarl smoth technologie</t>
  </si>
  <si>
    <t>TVA COMM BANCAIRE</t>
  </si>
  <si>
    <t xml:space="preserve">FN°435/2023 </t>
  </si>
  <si>
    <t>ets 2m numirik</t>
  </si>
  <si>
    <t xml:space="preserve">FN°23/00476 </t>
  </si>
  <si>
    <t>eurl master pub</t>
  </si>
  <si>
    <t xml:space="preserve">FN°23/00115 </t>
  </si>
  <si>
    <t>eurl print skill</t>
  </si>
  <si>
    <t xml:space="preserve">F223/00269  </t>
  </si>
  <si>
    <t>eurl print</t>
  </si>
  <si>
    <t>TVA FRAIS BANCAIRE</t>
  </si>
  <si>
    <t xml:space="preserve">FN°23/1448  </t>
  </si>
  <si>
    <t>hight tech system</t>
  </si>
  <si>
    <t xml:space="preserve">FN°00806/23 </t>
  </si>
  <si>
    <t>safex</t>
  </si>
  <si>
    <t>FACT 06/2023</t>
  </si>
  <si>
    <t>FACT 05/2023</t>
  </si>
  <si>
    <t>TMH</t>
  </si>
  <si>
    <t xml:space="preserve">CA            </t>
  </si>
  <si>
    <t>PAIMENT ELECTRICITE</t>
  </si>
  <si>
    <t>FACG/2023/00</t>
  </si>
  <si>
    <t>CONFECTIONNE</t>
  </si>
  <si>
    <t>FACT 07/2023</t>
  </si>
  <si>
    <t xml:space="preserve">OD            </t>
  </si>
  <si>
    <t xml:space="preserve">FACT10/23   </t>
  </si>
  <si>
    <t>DJEZZY FACTURE 10/2023</t>
  </si>
  <si>
    <t xml:space="preserve">FV23000326  </t>
  </si>
  <si>
    <t>SAC MONOCEM</t>
  </si>
  <si>
    <t>FAC 23/00065</t>
  </si>
  <si>
    <t>PORTE</t>
  </si>
  <si>
    <t xml:space="preserve">FN°23012197 </t>
  </si>
  <si>
    <t>OXXO</t>
  </si>
  <si>
    <t xml:space="preserve">FN°23012198 </t>
  </si>
  <si>
    <t xml:space="preserve">FN°689      </t>
  </si>
  <si>
    <t>bella ceram</t>
  </si>
  <si>
    <t xml:space="preserve">FN°687      </t>
  </si>
  <si>
    <t xml:space="preserve">FN°699      </t>
  </si>
  <si>
    <t xml:space="preserve">FN°55/2023  </t>
  </si>
  <si>
    <t xml:space="preserve">FN°001394   </t>
  </si>
  <si>
    <t>euro panaux</t>
  </si>
  <si>
    <t xml:space="preserve">SITU N°01   </t>
  </si>
  <si>
    <t>REALISATION GAZ</t>
  </si>
  <si>
    <t xml:space="preserve">FN°23012408 </t>
  </si>
  <si>
    <t>truks</t>
  </si>
  <si>
    <t xml:space="preserve">FN°271      </t>
  </si>
  <si>
    <t>sarl cadem</t>
  </si>
  <si>
    <t xml:space="preserve">FN°297/23   </t>
  </si>
  <si>
    <t>SARL CADEP</t>
  </si>
  <si>
    <t xml:space="preserve">FV23/00135  </t>
  </si>
  <si>
    <t>intelli</t>
  </si>
  <si>
    <t xml:space="preserve">FV23/00136  </t>
  </si>
  <si>
    <t xml:space="preserve">FN°755      </t>
  </si>
  <si>
    <t xml:space="preserve">FN°773      </t>
  </si>
  <si>
    <t>SIEGE DE TOILETTE</t>
  </si>
  <si>
    <t xml:space="preserve">FN°788      </t>
  </si>
  <si>
    <t>FOURNITURE DE CUISINE</t>
  </si>
  <si>
    <t xml:space="preserve">FN°59/2023  </t>
  </si>
  <si>
    <t>MONOMAX</t>
  </si>
  <si>
    <t xml:space="preserve">FV23000420  </t>
  </si>
  <si>
    <t xml:space="preserve">FV23000075  </t>
  </si>
  <si>
    <t>eddor</t>
  </si>
  <si>
    <t xml:space="preserve">FAC23/01404 </t>
  </si>
  <si>
    <t>SARL BILBAO</t>
  </si>
  <si>
    <t xml:space="preserve">FN°41/2023  </t>
  </si>
  <si>
    <t>FN°RB0055/23</t>
  </si>
  <si>
    <t>sarl codim</t>
  </si>
  <si>
    <t xml:space="preserve">FV23000462  </t>
  </si>
  <si>
    <t xml:space="preserve">FN°64/2023  </t>
  </si>
  <si>
    <t>MORTIER</t>
  </si>
  <si>
    <t xml:space="preserve">FN°45/2023  </t>
  </si>
  <si>
    <t xml:space="preserve">FN°191      </t>
  </si>
  <si>
    <t>algeria warm</t>
  </si>
  <si>
    <t xml:space="preserve">FN°23305    </t>
  </si>
  <si>
    <t>SARL ROYAL TIGRA</t>
  </si>
  <si>
    <t>FAC 23/00179</t>
  </si>
  <si>
    <t>ARCHITECT ENGENERRING</t>
  </si>
  <si>
    <t xml:space="preserve">FN°23013476 </t>
  </si>
  <si>
    <t xml:space="preserve">FN°23013434 </t>
  </si>
  <si>
    <t xml:space="preserve">FN°23013610 </t>
  </si>
  <si>
    <t xml:space="preserve">FN°23013611 </t>
  </si>
  <si>
    <t xml:space="preserve">FN°2312105  </t>
  </si>
  <si>
    <t>sarl samkaria</t>
  </si>
  <si>
    <t xml:space="preserve">S 01        </t>
  </si>
  <si>
    <t xml:space="preserve">S 02        </t>
  </si>
  <si>
    <t xml:space="preserve">S 03        </t>
  </si>
  <si>
    <t xml:space="preserve">S 04        </t>
  </si>
  <si>
    <t xml:space="preserve">S 05        </t>
  </si>
  <si>
    <t xml:space="preserve">S 06        </t>
  </si>
  <si>
    <t>AYTUNC YAPI  - SITIATION 01</t>
  </si>
  <si>
    <t>AYTUNC YAPI  - SITIATION 02</t>
  </si>
  <si>
    <t>AYTUNC YAPI  - SITIATION 03</t>
  </si>
  <si>
    <t>AYTUNC YAPI  - SITIATION 04</t>
  </si>
  <si>
    <t>AYTUNC YAPI  - SITIATION 05</t>
  </si>
  <si>
    <t>AYTUNC YAPI  - SITIATION 06</t>
  </si>
  <si>
    <t>AYTUNC YAPI  - SITIATION 07</t>
  </si>
  <si>
    <t>AYTUNC YAPI  - SITIATION 08</t>
  </si>
  <si>
    <t>COMPTE</t>
  </si>
  <si>
    <t>SARL AYTUNC YAPI</t>
  </si>
  <si>
    <t>AYTUNC YAPI</t>
  </si>
  <si>
    <t xml:space="preserve">CHN°4078456 </t>
  </si>
  <si>
    <t xml:space="preserve">CHN°4078458 </t>
  </si>
  <si>
    <t>YAPI</t>
  </si>
  <si>
    <t xml:space="preserve">CHN°4078471 </t>
  </si>
  <si>
    <t xml:space="preserve">CHN°4078467 </t>
  </si>
  <si>
    <t>ATTENTE</t>
  </si>
  <si>
    <t>VIREMENT POUR COMPTE</t>
  </si>
  <si>
    <t xml:space="preserve">CHN°4078476 </t>
  </si>
  <si>
    <t>REGL YAPI</t>
  </si>
  <si>
    <t xml:space="preserve">CHN°4078479 </t>
  </si>
  <si>
    <t>REGL AYUTNC YAPI</t>
  </si>
  <si>
    <t xml:space="preserve">CHN°0470107 </t>
  </si>
  <si>
    <t xml:space="preserve">CHN°470190  </t>
  </si>
  <si>
    <t>EMISSION CHEQUE DE BANQUE</t>
  </si>
  <si>
    <t xml:space="preserve">CHN°470187  </t>
  </si>
  <si>
    <t xml:space="preserve">CHN°470211  </t>
  </si>
  <si>
    <t xml:space="preserve">CHN°0140624 </t>
  </si>
  <si>
    <t xml:space="preserve">CHN°0140635 </t>
  </si>
  <si>
    <t>AYTUNC YAPI  - SITIATION 09</t>
  </si>
  <si>
    <t>r n c</t>
  </si>
  <si>
    <t xml:space="preserve">agio </t>
  </si>
  <si>
    <t xml:space="preserve">r n c </t>
  </si>
  <si>
    <t>SPA OXXO ALGERIE</t>
  </si>
  <si>
    <t>SIT01/2022</t>
  </si>
  <si>
    <t>SIT02/2022</t>
  </si>
  <si>
    <t>SIT03/2022</t>
  </si>
  <si>
    <t>SIT04/2022</t>
  </si>
  <si>
    <t>SIT05/2022</t>
  </si>
  <si>
    <t>SIT06/2022</t>
  </si>
  <si>
    <t>SIT07/2022</t>
  </si>
  <si>
    <t>SIT08/2022</t>
  </si>
  <si>
    <t>SIT09/2022</t>
  </si>
  <si>
    <t>AYTUNC YAPI - SITUATION 10</t>
  </si>
  <si>
    <t>AYTUNC YAPI - SITUATION 11</t>
  </si>
  <si>
    <t>AYTUNC YAPI - SITUATION 12</t>
  </si>
  <si>
    <t>AYTUNC YAPI - SITUATION 13</t>
  </si>
  <si>
    <t>AYTUNC YAPI - SITUATION 14</t>
  </si>
  <si>
    <t>AYTUNC YAPI - SITUATION 15</t>
  </si>
  <si>
    <t>AYTUNC YAPI - SITUATION 16</t>
  </si>
  <si>
    <t>AYTUNC YAPI - SITUATION 17</t>
  </si>
  <si>
    <t>AYTUNC YAPI - SITUATION 18</t>
  </si>
  <si>
    <t>AYTUNC YAPI - SITUATION 19</t>
  </si>
  <si>
    <t>AYTUNC YAPI - SITUATION 20</t>
  </si>
  <si>
    <t>AYTUNC YAPI - SITUATION 21</t>
  </si>
  <si>
    <t xml:space="preserve">SIT 21/2023   </t>
  </si>
  <si>
    <t>AYTUNC YAPI - SITUATION 22</t>
  </si>
  <si>
    <t>SIT 23/2024</t>
  </si>
  <si>
    <t>SIT 22/2024</t>
  </si>
  <si>
    <t>AYTUNC YAPI - SITUATION 23</t>
  </si>
  <si>
    <t>SIT 24/2024</t>
  </si>
  <si>
    <t>AYTUNC YAPI - SITUATION 24</t>
  </si>
  <si>
    <t>SIT 25/2024</t>
  </si>
  <si>
    <t>AYTUNC YAPI - SITUATION 25</t>
  </si>
  <si>
    <t xml:space="preserve">SIT10/2023 </t>
  </si>
  <si>
    <t>SIT11/2023</t>
  </si>
  <si>
    <t xml:space="preserve">SIT12/2023 </t>
  </si>
  <si>
    <t xml:space="preserve">SIT13/2023 </t>
  </si>
  <si>
    <t xml:space="preserve">SIT14/2023 </t>
  </si>
  <si>
    <t xml:space="preserve">SIT15/2023 </t>
  </si>
  <si>
    <t xml:space="preserve">SIT16/2023 </t>
  </si>
  <si>
    <t xml:space="preserve">SIT17/2023   </t>
  </si>
  <si>
    <t xml:space="preserve">SIT18/2023    </t>
  </si>
  <si>
    <t xml:space="preserve">SIT19/2023 </t>
  </si>
  <si>
    <t xml:space="preserve">SIT20/2023   </t>
  </si>
  <si>
    <t>EURL BIMHA CONSTRUCTION</t>
  </si>
  <si>
    <t>SIT01/2023</t>
  </si>
  <si>
    <t>SIT02/2023</t>
  </si>
  <si>
    <t>SIT03/2023</t>
  </si>
  <si>
    <t>SIT04/2023</t>
  </si>
  <si>
    <t>SIT05/2023</t>
  </si>
  <si>
    <t>SIT06/2023</t>
  </si>
  <si>
    <t>FACTN°2312105</t>
  </si>
  <si>
    <t>SARL SAMKARIA</t>
  </si>
  <si>
    <t>SARL SOGATRAF</t>
  </si>
  <si>
    <t>FACTN°06/2023</t>
  </si>
  <si>
    <t>FN°23012197/2023</t>
  </si>
  <si>
    <t>FN°23012198/2023</t>
  </si>
  <si>
    <t>FN°23012408/2023</t>
  </si>
  <si>
    <t>FN°23013476/2023</t>
  </si>
  <si>
    <t>FN°23013434/2023</t>
  </si>
  <si>
    <t>FN°23013610/2023</t>
  </si>
  <si>
    <t>FN°23013611/2023</t>
  </si>
  <si>
    <t>FN°24000423/2024</t>
  </si>
  <si>
    <t>FN°24000424/2024</t>
  </si>
  <si>
    <t>FN°24001746/2024</t>
  </si>
  <si>
    <t>FN°24001751/2024</t>
  </si>
  <si>
    <t>FN°24001972/2024</t>
  </si>
  <si>
    <t>FN°24002690/2024</t>
  </si>
  <si>
    <t>FN°24003178/2024</t>
  </si>
  <si>
    <t>FN°24004761/2024</t>
  </si>
  <si>
    <t>FN°24004762/2024</t>
  </si>
  <si>
    <t>RECAP DE TVA RECUPIRATION-2023</t>
  </si>
  <si>
    <t>RECAP DE TVA RECUPIRATION-2024</t>
  </si>
  <si>
    <t>SARL ENERGICAL</t>
  </si>
  <si>
    <t>SITN°01/2023</t>
  </si>
  <si>
    <t>ETB-CID ABDELHAMID</t>
  </si>
  <si>
    <t>SITN°02/2023</t>
  </si>
  <si>
    <t>SITN°03/2024</t>
  </si>
  <si>
    <t>IDRICI BOUALEM MED-BATIMENT</t>
  </si>
  <si>
    <t>SITN°01/2024</t>
  </si>
  <si>
    <t>SITN°02/2024</t>
  </si>
  <si>
    <t>ETB-BENHADDAD RIDHA</t>
  </si>
  <si>
    <t>ETB-MEZIANI YOUNES</t>
  </si>
  <si>
    <t>SITN°04/2024</t>
  </si>
  <si>
    <t>ETB-TELMAT MOHAMED</t>
  </si>
  <si>
    <t>FN°BL24/000217/24</t>
  </si>
  <si>
    <t>DJEZZY MARS 03/2023</t>
  </si>
  <si>
    <t>FACTURE GAZ</t>
  </si>
  <si>
    <t xml:space="preserve">FACT10/2023   </t>
  </si>
  <si>
    <t>FN°001394/2023</t>
  </si>
  <si>
    <t xml:space="preserve">SITU N°01/2023 </t>
  </si>
  <si>
    <t xml:space="preserve">FN°271/2023    </t>
  </si>
  <si>
    <t xml:space="preserve">FN°297/2023   </t>
  </si>
  <si>
    <t xml:space="preserve">FV23000420/2023  </t>
  </si>
  <si>
    <t xml:space="preserve">FV23000075/2023 </t>
  </si>
  <si>
    <t xml:space="preserve">FV23000462/2023 </t>
  </si>
  <si>
    <t xml:space="preserve">FN°191/2023    </t>
  </si>
  <si>
    <t xml:space="preserve">FN°23305/2023   </t>
  </si>
  <si>
    <t>FACTN°013/2023</t>
  </si>
  <si>
    <t>ERREUR</t>
  </si>
  <si>
    <t>EURL BIMHA CONSTRUCTION 01</t>
  </si>
  <si>
    <t>EURL BIMHA CONSTRUCTION 02</t>
  </si>
  <si>
    <t>EURL BIMHA CONSTRUCTION 03</t>
  </si>
  <si>
    <t>EURL BIMHA CONSTRUCTION 04</t>
  </si>
  <si>
    <t>EURL BIMHA CONSTRUCTION 05</t>
  </si>
  <si>
    <t>EURL BIMHA CONSTRUCTION 06</t>
  </si>
  <si>
    <t>SARL GENIMAT</t>
  </si>
  <si>
    <t xml:space="preserve">FV23000326/2023  </t>
  </si>
  <si>
    <t>FACTN°03/2024</t>
  </si>
  <si>
    <t>SARL MPB ALGERIE</t>
  </si>
  <si>
    <t>FACTN°12/2024</t>
  </si>
  <si>
    <t>FACTN°15/2024</t>
  </si>
  <si>
    <t>FACTN°24/2024</t>
  </si>
  <si>
    <t>DJEZZY JUILLET 23</t>
  </si>
  <si>
    <t>RECAP TVA 2023</t>
  </si>
  <si>
    <t>RECAP DE TVA RECUPIRATION-2022</t>
  </si>
  <si>
    <t>OK</t>
  </si>
  <si>
    <t>EURL TERRAIN METRICS</t>
  </si>
  <si>
    <t>FACTN°27/2023</t>
  </si>
  <si>
    <t>ok</t>
  </si>
  <si>
    <t>DJEZZY mois 06/2023</t>
  </si>
  <si>
    <t>SPA OXXO ALGERIE 01</t>
  </si>
  <si>
    <t>SPA OXXO ALGERIE 02</t>
  </si>
  <si>
    <t>SPA OXXO ALGERIE 03</t>
  </si>
  <si>
    <t>SPA OXXO ALGERIE 04</t>
  </si>
  <si>
    <t>SPA OXXO ALGERIE 05</t>
  </si>
  <si>
    <t>SPA OXXO ALGERIE 06</t>
  </si>
  <si>
    <t>SPA OXXO ALGERIE 07</t>
  </si>
  <si>
    <t>SPA OXXO ALGERIE 08</t>
  </si>
  <si>
    <t>SPA OXXO ALGERIE 09</t>
  </si>
  <si>
    <t>SPA OXXO ALGERIE 10</t>
  </si>
  <si>
    <t>SPA OXXO ALGERIE 11</t>
  </si>
  <si>
    <t>SPA OXXO ALGERIE 12</t>
  </si>
  <si>
    <t>SPA OXXO ALGERIE 13</t>
  </si>
  <si>
    <t>SPA OXXO ALGERIE 14</t>
  </si>
  <si>
    <t>SPA OXXO ALGERIE 15</t>
  </si>
  <si>
    <t>SPA OXXO ALGERIE 16</t>
  </si>
  <si>
    <t xml:space="preserve">DJEZZY A LA SIGNATURE CONTRAT </t>
  </si>
  <si>
    <t>SARL EUROPANNEAUX</t>
  </si>
  <si>
    <t>SARL EDOOR</t>
  </si>
  <si>
    <t>FV23000065/2023</t>
  </si>
  <si>
    <t>SARL EDDOOR</t>
  </si>
  <si>
    <t>FACTUREN°20/2023</t>
  </si>
  <si>
    <t>SARL TRACKS CONSTRUCTION</t>
  </si>
  <si>
    <t>madani 2022</t>
  </si>
  <si>
    <t>ECARE 2023</t>
  </si>
  <si>
    <t>Total GLE 2023</t>
  </si>
  <si>
    <t>FACTUREN°25/2023</t>
  </si>
  <si>
    <t xml:space="preserve">FACTN°41/2023  </t>
  </si>
  <si>
    <t xml:space="preserve">FAC/2023/00135  </t>
  </si>
  <si>
    <t>SARL INTELLISOLUTIONS</t>
  </si>
  <si>
    <t xml:space="preserve">FAC/2023/00136  </t>
  </si>
  <si>
    <t>FAC/2023/00179</t>
  </si>
  <si>
    <t>recup G50 10/24</t>
  </si>
  <si>
    <t xml:space="preserve"> 7 907 090,22</t>
  </si>
  <si>
    <t>SARL BELLA CERAM</t>
  </si>
  <si>
    <t xml:space="preserve">FN°0755/2023    </t>
  </si>
  <si>
    <t xml:space="preserve">FN°0687/2023    </t>
  </si>
  <si>
    <t xml:space="preserve">FN°0699/2023   </t>
  </si>
  <si>
    <t xml:space="preserve">FN°0689/2023   </t>
  </si>
  <si>
    <t xml:space="preserve">FN°0788/2023    </t>
  </si>
  <si>
    <t xml:space="preserve">FN°0773/2023    </t>
  </si>
  <si>
    <t>FACTN°2024-00001</t>
  </si>
  <si>
    <t>SARL OMNIA CERAMICA</t>
  </si>
  <si>
    <t>FN°RB0055/2023</t>
  </si>
  <si>
    <t>SARL CODIM</t>
  </si>
  <si>
    <t>FACTN°24000036</t>
  </si>
  <si>
    <t>FACTN°24000043</t>
  </si>
  <si>
    <t>SARL AYTUNC YAPI-26</t>
  </si>
  <si>
    <t>SITN°26/2024</t>
  </si>
  <si>
    <t>SARL AYTUNC YAPI - 22</t>
  </si>
  <si>
    <t>SARL AYTUNC YAPI - 23</t>
  </si>
  <si>
    <t>SARL AYTUNC YAPI - 24</t>
  </si>
  <si>
    <t>SARL AYTUNC YAPI - 25</t>
  </si>
  <si>
    <t>SARL AYTUNC YAPI - 21</t>
  </si>
  <si>
    <t>SARL AYTUNC YAPI - 20</t>
  </si>
  <si>
    <t>SARL AYTUNC YAPI - 19</t>
  </si>
  <si>
    <t>SARL AYTUNC YAPI - 18</t>
  </si>
  <si>
    <t>SARL AYTUNC YAPI - 16</t>
  </si>
  <si>
    <t>SARL AYTUNC YAPI - 17</t>
  </si>
  <si>
    <t>SARL AYTUNC YAPI - 14</t>
  </si>
  <si>
    <t>SARL AYTUNC YAPI - 15</t>
  </si>
  <si>
    <t>SARL AYTUNC YAPI - 13</t>
  </si>
  <si>
    <t>SARL AYTUNC YAPI - 12</t>
  </si>
  <si>
    <t>SARL AYTUNC YAPI - 11</t>
  </si>
  <si>
    <t>SARL AYTUNC YAPI - 10</t>
  </si>
  <si>
    <t>SARL AYTUNC YAPI  - 09</t>
  </si>
  <si>
    <t>SARL AYTUNC YAPI  - 08</t>
  </si>
  <si>
    <t>SARL AYTUNC YAPI  - 01</t>
  </si>
  <si>
    <t>SARL AYTUNC YAPI  - 02</t>
  </si>
  <si>
    <t>SARL AYTUNC YAPI  - 03</t>
  </si>
  <si>
    <t>SARL AYTUNC YAPI  - 04</t>
  </si>
  <si>
    <t>SARL AYTUNC YAPI  - 05</t>
  </si>
  <si>
    <t>SARL AYTUNC YAPI  - 06</t>
  </si>
  <si>
    <t>SARL AYTUNC YAPI  - 07</t>
  </si>
  <si>
    <t>N comptabilisé</t>
  </si>
  <si>
    <t>SITN° 24/2024</t>
  </si>
  <si>
    <t>SITN° 25/2024</t>
  </si>
  <si>
    <t>SITN° 23/2024</t>
  </si>
  <si>
    <t>SITN° 22/2024</t>
  </si>
  <si>
    <t>SITN° 21/2023</t>
  </si>
  <si>
    <t xml:space="preserve">SITN° 20/2023   </t>
  </si>
  <si>
    <t xml:space="preserve">SITN° 19/2023 </t>
  </si>
  <si>
    <t xml:space="preserve">SITN° 18/2023    </t>
  </si>
  <si>
    <t xml:space="preserve">SITN° 17/2023   </t>
  </si>
  <si>
    <t xml:space="preserve">SITN° 16/2023 </t>
  </si>
  <si>
    <t xml:space="preserve">SITN° 15/2023 </t>
  </si>
  <si>
    <t>SITN° 01/2023</t>
  </si>
  <si>
    <t xml:space="preserve">SITN° 14/2023 </t>
  </si>
  <si>
    <t xml:space="preserve">SITN° 13/2023 </t>
  </si>
  <si>
    <t xml:space="preserve">SITN° 12/2023 </t>
  </si>
  <si>
    <t>SITN° 11/2023</t>
  </si>
  <si>
    <t xml:space="preserve">SITN° 10/2023 </t>
  </si>
  <si>
    <t>SITN° 08/2022</t>
  </si>
  <si>
    <t>SITN° 07/2022</t>
  </si>
  <si>
    <t>SITN° 06/2022</t>
  </si>
  <si>
    <t>SITN° 05/2022</t>
  </si>
  <si>
    <t>SITN° 04/2022</t>
  </si>
  <si>
    <t>SITN° 03/2022</t>
  </si>
  <si>
    <t>SITN° 02/2022</t>
  </si>
  <si>
    <t>SITN° 01/2022</t>
  </si>
  <si>
    <t>SITN°24004845/2024</t>
  </si>
  <si>
    <t>SPA OXXO ALGERIE 17</t>
  </si>
  <si>
    <t>FACTURE N°15/2024</t>
  </si>
  <si>
    <t>ETS BELAIDI NOURDINE</t>
  </si>
  <si>
    <t>VALIDE</t>
  </si>
  <si>
    <t>OBS</t>
  </si>
  <si>
    <t>MADANI 2023</t>
  </si>
  <si>
    <t>FACTURE N°012/24</t>
  </si>
  <si>
    <t>SARL FNAR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</si>
</sst>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-* #,##0.00\ _D_A_-;\-* #,##0.00\ _D_A_-;_-* &quot;-&quot;??\ _D_A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3" fillId="0" borderId="0" xfId="0" applyFont="1"/>
    <xf numFmtId="164" fontId="0" fillId="0" borderId="0" xfId="0" applyNumberFormat="1"/>
    <xf numFmtId="43" fontId="2" fillId="0" borderId="0" xfId="1" applyFont="1"/>
    <xf numFmtId="164" fontId="2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43" fontId="0" fillId="2" borderId="1" xfId="1" applyFont="1" applyFill="1" applyBorder="1"/>
    <xf numFmtId="0" fontId="2" fillId="0" borderId="1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43" fontId="0" fillId="4" borderId="1" xfId="1" applyFont="1" applyFill="1" applyBorder="1"/>
    <xf numFmtId="43" fontId="0" fillId="0" borderId="1" xfId="1" applyFont="1" applyBorder="1"/>
    <xf numFmtId="43" fontId="2" fillId="5" borderId="1" xfId="1" applyFont="1" applyFill="1" applyBorder="1"/>
    <xf numFmtId="43" fontId="5" fillId="3" borderId="1" xfId="1" applyFont="1" applyFill="1" applyBorder="1"/>
    <xf numFmtId="43" fontId="2" fillId="2" borderId="1" xfId="1" applyFont="1" applyFill="1" applyBorder="1"/>
    <xf numFmtId="43" fontId="2" fillId="0" borderId="1" xfId="1" applyFont="1" applyBorder="1"/>
    <xf numFmtId="14" fontId="2" fillId="0" borderId="1" xfId="0" applyNumberFormat="1" applyFont="1" applyBorder="1"/>
    <xf numFmtId="43" fontId="2" fillId="2" borderId="2" xfId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3" borderId="2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8" xfId="0" applyBorder="1"/>
    <xf numFmtId="0" fontId="0" fillId="4" borderId="0" xfId="0" applyFill="1"/>
    <xf numFmtId="164" fontId="0" fillId="4" borderId="0" xfId="0" applyNumberFormat="1" applyFill="1"/>
    <xf numFmtId="164" fontId="2" fillId="4" borderId="0" xfId="0" applyNumberFormat="1" applyFont="1" applyFill="1"/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3" fontId="2" fillId="4" borderId="0" xfId="1" applyFont="1" applyFill="1" applyBorder="1"/>
    <xf numFmtId="0" fontId="0" fillId="4" borderId="0" xfId="0" applyFill="1" applyAlignment="1">
      <alignment horizontal="center" vertical="center"/>
    </xf>
    <xf numFmtId="43" fontId="2" fillId="4" borderId="0" xfId="0" applyNumberFormat="1" applyFont="1" applyFill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0" borderId="19" xfId="0" applyBorder="1"/>
    <xf numFmtId="0" fontId="0" fillId="3" borderId="17" xfId="0" applyFill="1" applyBorder="1"/>
    <xf numFmtId="0" fontId="0" fillId="3" borderId="2" xfId="0" applyFill="1" applyBorder="1"/>
    <xf numFmtId="0" fontId="0" fillId="3" borderId="16" xfId="0" applyFill="1" applyBorder="1"/>
    <xf numFmtId="0" fontId="7" fillId="3" borderId="23" xfId="0" applyFont="1" applyFill="1" applyBorder="1"/>
    <xf numFmtId="0" fontId="7" fillId="3" borderId="24" xfId="0" applyFont="1" applyFill="1" applyBorder="1"/>
    <xf numFmtId="0" fontId="2" fillId="0" borderId="0" xfId="0" applyFont="1"/>
    <xf numFmtId="0" fontId="2" fillId="0" borderId="14" xfId="0" applyFont="1" applyBorder="1"/>
    <xf numFmtId="0" fontId="0" fillId="3" borderId="13" xfId="0" applyFill="1" applyBorder="1"/>
    <xf numFmtId="0" fontId="0" fillId="3" borderId="14" xfId="0" applyFill="1" applyBorder="1"/>
    <xf numFmtId="0" fontId="7" fillId="8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5" fillId="8" borderId="29" xfId="0" applyNumberFormat="1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0" xfId="0" applyFont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165" fontId="0" fillId="0" borderId="0" xfId="0" applyNumberFormat="1"/>
    <xf numFmtId="0" fontId="2" fillId="0" borderId="28" xfId="0" applyFont="1" applyBorder="1"/>
    <xf numFmtId="0" fontId="0" fillId="0" borderId="27" xfId="0" applyBorder="1"/>
    <xf numFmtId="0" fontId="7" fillId="3" borderId="25" xfId="0" applyFont="1" applyFill="1" applyBorder="1"/>
    <xf numFmtId="0" fontId="2" fillId="0" borderId="10" xfId="0" applyFont="1" applyBorder="1"/>
    <xf numFmtId="43" fontId="2" fillId="2" borderId="32" xfId="1" applyFont="1" applyFill="1" applyBorder="1"/>
    <xf numFmtId="43" fontId="2" fillId="2" borderId="33" xfId="1" applyFont="1" applyFill="1" applyBorder="1"/>
    <xf numFmtId="43" fontId="2" fillId="2" borderId="34" xfId="1" applyFont="1" applyFill="1" applyBorder="1"/>
    <xf numFmtId="43" fontId="0" fillId="2" borderId="33" xfId="1" applyFont="1" applyFill="1" applyBorder="1"/>
    <xf numFmtId="43" fontId="0" fillId="2" borderId="35" xfId="1" applyFont="1" applyFill="1" applyBorder="1"/>
    <xf numFmtId="43" fontId="0" fillId="2" borderId="36" xfId="1" applyFont="1" applyFill="1" applyBorder="1"/>
    <xf numFmtId="43" fontId="7" fillId="3" borderId="10" xfId="1" applyFont="1" applyFill="1" applyBorder="1" applyAlignment="1">
      <alignment vertical="center"/>
    </xf>
    <xf numFmtId="43" fontId="7" fillId="3" borderId="38" xfId="1" applyFont="1" applyFill="1" applyBorder="1"/>
    <xf numFmtId="0" fontId="2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0" fontId="2" fillId="0" borderId="29" xfId="0" applyFont="1" applyBorder="1"/>
    <xf numFmtId="0" fontId="0" fillId="0" borderId="29" xfId="0" applyBorder="1"/>
    <xf numFmtId="0" fontId="0" fillId="0" borderId="39" xfId="0" applyBorder="1"/>
    <xf numFmtId="0" fontId="0" fillId="0" borderId="40" xfId="0" applyBorder="1"/>
    <xf numFmtId="0" fontId="2" fillId="6" borderId="29" xfId="0" applyFont="1" applyFill="1" applyBorder="1"/>
    <xf numFmtId="0" fontId="2" fillId="0" borderId="31" xfId="0" applyFont="1" applyBorder="1"/>
    <xf numFmtId="0" fontId="2" fillId="0" borderId="30" xfId="0" applyFont="1" applyBorder="1"/>
    <xf numFmtId="0" fontId="2" fillId="0" borderId="29" xfId="0" applyFont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0" fillId="0" borderId="30" xfId="0" applyBorder="1"/>
    <xf numFmtId="0" fontId="7" fillId="3" borderId="15" xfId="0" applyFont="1" applyFill="1" applyBorder="1"/>
    <xf numFmtId="0" fontId="0" fillId="0" borderId="21" xfId="0" applyBorder="1"/>
    <xf numFmtId="0" fontId="0" fillId="3" borderId="28" xfId="0" applyFill="1" applyBorder="1"/>
    <xf numFmtId="14" fontId="2" fillId="0" borderId="30" xfId="0" applyNumberFormat="1" applyFont="1" applyBorder="1"/>
    <xf numFmtId="14" fontId="2" fillId="0" borderId="29" xfId="0" applyNumberFormat="1" applyFont="1" applyBorder="1"/>
    <xf numFmtId="14" fontId="2" fillId="0" borderId="31" xfId="0" applyNumberFormat="1" applyFont="1" applyBorder="1"/>
    <xf numFmtId="14" fontId="2" fillId="3" borderId="2" xfId="0" applyNumberFormat="1" applyFont="1" applyFill="1" applyBorder="1"/>
    <xf numFmtId="14" fontId="0" fillId="0" borderId="29" xfId="0" applyNumberFormat="1" applyBorder="1"/>
    <xf numFmtId="14" fontId="0" fillId="0" borderId="39" xfId="0" applyNumberFormat="1" applyBorder="1"/>
    <xf numFmtId="14" fontId="0" fillId="0" borderId="40" xfId="0" applyNumberFormat="1" applyBorder="1"/>
    <xf numFmtId="14" fontId="0" fillId="3" borderId="2" xfId="0" applyNumberFormat="1" applyFill="1" applyBorder="1"/>
    <xf numFmtId="14" fontId="2" fillId="0" borderId="29" xfId="0" applyNumberFormat="1" applyFont="1" applyBorder="1" applyAlignment="1">
      <alignment vertical="center"/>
    </xf>
    <xf numFmtId="43" fontId="7" fillId="3" borderId="2" xfId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2" fillId="9" borderId="29" xfId="0" applyFont="1" applyFill="1" applyBorder="1"/>
    <xf numFmtId="0" fontId="2" fillId="0" borderId="4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10" borderId="29" xfId="0" applyFont="1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4" fontId="2" fillId="0" borderId="19" xfId="0" applyNumberFormat="1" applyFont="1" applyBorder="1"/>
    <xf numFmtId="0" fontId="2" fillId="0" borderId="19" xfId="0" applyFont="1" applyBorder="1"/>
    <xf numFmtId="0" fontId="5" fillId="8" borderId="41" xfId="0" applyFont="1" applyFill="1" applyBorder="1" applyAlignment="1">
      <alignment horizontal="center" vertical="center"/>
    </xf>
    <xf numFmtId="43" fontId="7" fillId="3" borderId="15" xfId="1" applyFont="1" applyFill="1" applyBorder="1"/>
    <xf numFmtId="0" fontId="2" fillId="0" borderId="46" xfId="0" applyFont="1" applyBorder="1" applyAlignment="1">
      <alignment horizontal="center" vertical="center"/>
    </xf>
    <xf numFmtId="43" fontId="8" fillId="2" borderId="46" xfId="1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3" fontId="8" fillId="2" borderId="47" xfId="1" applyFont="1" applyFill="1" applyBorder="1" applyAlignment="1">
      <alignment horizontal="center" vertical="center"/>
    </xf>
    <xf numFmtId="43" fontId="2" fillId="4" borderId="2" xfId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/>
    <xf numFmtId="43" fontId="2" fillId="4" borderId="10" xfId="1" applyFont="1" applyFill="1" applyBorder="1"/>
    <xf numFmtId="0" fontId="2" fillId="10" borderId="30" xfId="0" applyFont="1" applyFill="1" applyBorder="1"/>
    <xf numFmtId="0" fontId="2" fillId="10" borderId="31" xfId="0" applyFont="1" applyFill="1" applyBorder="1"/>
    <xf numFmtId="0" fontId="7" fillId="3" borderId="48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28" xfId="0" applyBorder="1"/>
    <xf numFmtId="0" fontId="0" fillId="0" borderId="2" xfId="0" applyBorder="1"/>
    <xf numFmtId="43" fontId="0" fillId="0" borderId="16" xfId="1" applyFont="1" applyBorder="1"/>
    <xf numFmtId="0" fontId="2" fillId="3" borderId="26" xfId="0" applyFont="1" applyFill="1" applyBorder="1"/>
    <xf numFmtId="0" fontId="5" fillId="3" borderId="26" xfId="0" applyFont="1" applyFill="1" applyBorder="1" applyAlignment="1">
      <alignment horizontal="center" vertical="center"/>
    </xf>
    <xf numFmtId="43" fontId="7" fillId="3" borderId="37" xfId="1" applyFont="1" applyFill="1" applyBorder="1" applyAlignment="1">
      <alignment horizontal="center" vertical="center"/>
    </xf>
    <xf numFmtId="0" fontId="2" fillId="10" borderId="2" xfId="0" applyFont="1" applyFill="1" applyBorder="1"/>
    <xf numFmtId="43" fontId="2" fillId="10" borderId="16" xfId="1" applyFont="1" applyFill="1" applyBorder="1"/>
    <xf numFmtId="14" fontId="0" fillId="0" borderId="31" xfId="0" applyNumberFormat="1" applyBorder="1"/>
    <xf numFmtId="0" fontId="0" fillId="0" borderId="31" xfId="0" applyBorder="1"/>
    <xf numFmtId="43" fontId="0" fillId="2" borderId="34" xfId="1" applyFont="1" applyFill="1" applyBorder="1"/>
    <xf numFmtId="14" fontId="0" fillId="0" borderId="30" xfId="0" applyNumberFormat="1" applyBorder="1"/>
    <xf numFmtId="43" fontId="0" fillId="2" borderId="32" xfId="1" applyFont="1" applyFill="1" applyBorder="1"/>
    <xf numFmtId="43" fontId="2" fillId="2" borderId="16" xfId="1" applyFont="1" applyFill="1" applyBorder="1"/>
    <xf numFmtId="14" fontId="2" fillId="4" borderId="31" xfId="0" applyNumberFormat="1" applyFont="1" applyFill="1" applyBorder="1"/>
    <xf numFmtId="0" fontId="2" fillId="11" borderId="31" xfId="0" applyFont="1" applyFill="1" applyBorder="1"/>
    <xf numFmtId="43" fontId="5" fillId="8" borderId="2" xfId="1" applyFont="1" applyFill="1" applyBorder="1" applyAlignment="1">
      <alignment horizontal="center" vertical="center"/>
    </xf>
    <xf numFmtId="0" fontId="0" fillId="0" borderId="50" xfId="0" applyBorder="1"/>
    <xf numFmtId="14" fontId="0" fillId="0" borderId="19" xfId="0" applyNumberFormat="1" applyBorder="1"/>
    <xf numFmtId="43" fontId="0" fillId="2" borderId="0" xfId="1" applyFont="1" applyFill="1" applyBorder="1"/>
    <xf numFmtId="0" fontId="2" fillId="10" borderId="19" xfId="0" applyFont="1" applyFill="1" applyBorder="1"/>
    <xf numFmtId="43" fontId="2" fillId="2" borderId="0" xfId="1" applyFont="1" applyFill="1" applyBorder="1"/>
    <xf numFmtId="14" fontId="2" fillId="0" borderId="30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43" fontId="2" fillId="2" borderId="16" xfId="1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14" fontId="2" fillId="0" borderId="19" xfId="0" applyNumberFormat="1" applyFont="1" applyBorder="1" applyAlignment="1">
      <alignment vertical="center"/>
    </xf>
    <xf numFmtId="0" fontId="2" fillId="6" borderId="19" xfId="0" applyFont="1" applyFill="1" applyBorder="1" applyAlignment="1">
      <alignment vertical="center"/>
    </xf>
    <xf numFmtId="0" fontId="2" fillId="6" borderId="52" xfId="0" applyFont="1" applyFill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7" fillId="8" borderId="26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43" fontId="2" fillId="2" borderId="26" xfId="1" applyFont="1" applyFill="1" applyBorder="1" applyAlignment="1">
      <alignment vertical="center"/>
    </xf>
    <xf numFmtId="43" fontId="2" fillId="2" borderId="2" xfId="1" applyFont="1" applyFill="1" applyBorder="1" applyAlignment="1">
      <alignment vertical="center"/>
    </xf>
    <xf numFmtId="43" fontId="2" fillId="4" borderId="30" xfId="1" applyFont="1" applyFill="1" applyBorder="1" applyAlignment="1">
      <alignment vertical="center"/>
    </xf>
    <xf numFmtId="43" fontId="2" fillId="4" borderId="29" xfId="1" applyFont="1" applyFill="1" applyBorder="1" applyAlignment="1">
      <alignment vertical="center"/>
    </xf>
    <xf numFmtId="43" fontId="2" fillId="4" borderId="39" xfId="1" applyFont="1" applyFill="1" applyBorder="1" applyAlignment="1">
      <alignment vertical="center"/>
    </xf>
    <xf numFmtId="43" fontId="3" fillId="0" borderId="1" xfId="1" applyFont="1" applyBorder="1"/>
    <xf numFmtId="0" fontId="0" fillId="0" borderId="54" xfId="0" applyBorder="1"/>
    <xf numFmtId="0" fontId="2" fillId="0" borderId="55" xfId="0" applyFont="1" applyBorder="1" applyAlignment="1">
      <alignment horizontal="center" vertical="center"/>
    </xf>
    <xf numFmtId="43" fontId="2" fillId="4" borderId="10" xfId="1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5" fontId="2" fillId="4" borderId="47" xfId="0" applyNumberFormat="1" applyFont="1" applyFill="1" applyBorder="1" applyAlignment="1">
      <alignment horizontal="center" vertical="center"/>
    </xf>
    <xf numFmtId="164" fontId="0" fillId="4" borderId="58" xfId="0" applyNumberForma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right"/>
    </xf>
    <xf numFmtId="0" fontId="2" fillId="0" borderId="19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5" xfId="0" applyBorder="1"/>
    <xf numFmtId="0" fontId="2" fillId="0" borderId="2" xfId="0" applyFont="1" applyBorder="1" applyAlignment="1">
      <alignment horizontal="center" vertical="center"/>
    </xf>
    <xf numFmtId="43" fontId="8" fillId="2" borderId="56" xfId="0" applyNumberFormat="1" applyFont="1" applyFill="1" applyBorder="1"/>
    <xf numFmtId="0" fontId="7" fillId="4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vertical="center"/>
    </xf>
    <xf numFmtId="43" fontId="2" fillId="2" borderId="0" xfId="1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14" fontId="2" fillId="0" borderId="19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vertical="center"/>
    </xf>
    <xf numFmtId="0" fontId="2" fillId="6" borderId="31" xfId="0" applyFont="1" applyFill="1" applyBorder="1"/>
    <xf numFmtId="0" fontId="2" fillId="6" borderId="19" xfId="0" applyFont="1" applyFill="1" applyBorder="1"/>
    <xf numFmtId="0" fontId="2" fillId="6" borderId="2" xfId="0" applyFont="1" applyFill="1" applyBorder="1"/>
    <xf numFmtId="0" fontId="0" fillId="4" borderId="50" xfId="0" applyFill="1" applyBorder="1"/>
    <xf numFmtId="0" fontId="0" fillId="4" borderId="44" xfId="0" applyFill="1" applyBorder="1"/>
    <xf numFmtId="0" fontId="0" fillId="4" borderId="45" xfId="0" applyFill="1" applyBorder="1"/>
    <xf numFmtId="14" fontId="2" fillId="4" borderId="19" xfId="0" applyNumberFormat="1" applyFont="1" applyFill="1" applyBorder="1"/>
    <xf numFmtId="0" fontId="2" fillId="11" borderId="19" xfId="0" applyFont="1" applyFill="1" applyBorder="1"/>
    <xf numFmtId="43" fontId="6" fillId="2" borderId="0" xfId="1" applyFont="1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28" xfId="0" applyFill="1" applyBorder="1"/>
    <xf numFmtId="14" fontId="2" fillId="4" borderId="2" xfId="0" applyNumberFormat="1" applyFont="1" applyFill="1" applyBorder="1"/>
    <xf numFmtId="0" fontId="2" fillId="11" borderId="2" xfId="0" applyFont="1" applyFill="1" applyBorder="1"/>
    <xf numFmtId="43" fontId="6" fillId="2" borderId="16" xfId="1" applyFont="1" applyFill="1" applyBorder="1"/>
    <xf numFmtId="0" fontId="2" fillId="4" borderId="19" xfId="0" applyFont="1" applyFill="1" applyBorder="1"/>
    <xf numFmtId="0" fontId="6" fillId="4" borderId="19" xfId="0" applyFont="1" applyFill="1" applyBorder="1" applyAlignment="1">
      <alignment horizontal="left" vertical="center"/>
    </xf>
    <xf numFmtId="0" fontId="2" fillId="4" borderId="2" xfId="0" applyFont="1" applyFill="1" applyBorder="1"/>
    <xf numFmtId="0" fontId="6" fillId="4" borderId="2" xfId="0" applyFont="1" applyFill="1" applyBorder="1" applyAlignment="1">
      <alignment horizontal="left" vertical="center"/>
    </xf>
    <xf numFmtId="0" fontId="7" fillId="8" borderId="15" xfId="0" applyFont="1" applyFill="1" applyBorder="1" applyAlignment="1">
      <alignment horizontal="center" vertical="center"/>
    </xf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14" fontId="2" fillId="0" borderId="15" xfId="0" applyNumberFormat="1" applyFont="1" applyBorder="1"/>
    <xf numFmtId="0" fontId="2" fillId="0" borderId="15" xfId="0" applyFont="1" applyBorder="1"/>
    <xf numFmtId="43" fontId="2" fillId="2" borderId="38" xfId="1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43" fontId="2" fillId="0" borderId="2" xfId="1" applyFont="1" applyBorder="1" applyAlignment="1">
      <alignment horizontal="center" vertical="center"/>
    </xf>
    <xf numFmtId="0" fontId="2" fillId="5" borderId="2" xfId="0" applyFont="1" applyFill="1" applyBorder="1"/>
    <xf numFmtId="0" fontId="5" fillId="8" borderId="60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2" fillId="6" borderId="30" xfId="0" applyFont="1" applyFill="1" applyBorder="1"/>
    <xf numFmtId="43" fontId="0" fillId="0" borderId="0" xfId="1" applyFont="1"/>
    <xf numFmtId="0" fontId="0" fillId="3" borderId="29" xfId="0" applyFill="1" applyBorder="1"/>
    <xf numFmtId="0" fontId="2" fillId="3" borderId="2" xfId="0" applyFont="1" applyFill="1" applyBorder="1"/>
    <xf numFmtId="43" fontId="0" fillId="0" borderId="33" xfId="1" applyFont="1" applyBorder="1"/>
    <xf numFmtId="43" fontId="0" fillId="0" borderId="34" xfId="1" applyFont="1" applyBorder="1"/>
    <xf numFmtId="43" fontId="0" fillId="0" borderId="32" xfId="1" applyFont="1" applyBorder="1"/>
    <xf numFmtId="43" fontId="0" fillId="2" borderId="16" xfId="1" applyFont="1" applyFill="1" applyBorder="1"/>
    <xf numFmtId="43" fontId="0" fillId="0" borderId="36" xfId="1" applyFont="1" applyBorder="1"/>
    <xf numFmtId="43" fontId="0" fillId="3" borderId="0" xfId="1" applyFont="1" applyFill="1"/>
    <xf numFmtId="0" fontId="0" fillId="3" borderId="31" xfId="0" applyFill="1" applyBorder="1"/>
    <xf numFmtId="43" fontId="0" fillId="3" borderId="34" xfId="1" applyFont="1" applyFill="1" applyBorder="1"/>
    <xf numFmtId="0" fontId="5" fillId="3" borderId="19" xfId="0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2" fillId="7" borderId="53" xfId="0" applyFont="1" applyFill="1" applyBorder="1" applyAlignment="1">
      <alignment horizontal="center"/>
    </xf>
    <xf numFmtId="0" fontId="2" fillId="7" borderId="59" xfId="0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9FD6-3DD7-4FDA-850E-03604E1DAAA4}">
  <dimension ref="A1:P178"/>
  <sheetViews>
    <sheetView tabSelected="1" topLeftCell="A158" workbookViewId="0">
      <selection activeCell="G170" sqref="G170"/>
    </sheetView>
  </sheetViews>
  <sheetFormatPr baseColWidth="10" defaultRowHeight="15" x14ac:dyDescent="0.25"/>
  <cols>
    <col min="5" max="5" width="11.7109375" customWidth="1"/>
    <col min="6" max="6" width="17.5703125" customWidth="1"/>
    <col min="7" max="7" width="32.28515625" customWidth="1"/>
    <col min="8" max="8" width="15.85546875" customWidth="1"/>
    <col min="9" max="9" width="12.7109375" bestFit="1" customWidth="1"/>
    <col min="10" max="10" width="17.7109375" customWidth="1"/>
    <col min="11" max="11" width="16.7109375" customWidth="1"/>
    <col min="12" max="12" width="18.28515625" bestFit="1" customWidth="1"/>
    <col min="13" max="13" width="21.28515625" customWidth="1"/>
    <col min="14" max="14" width="13.85546875" customWidth="1"/>
    <col min="15" max="15" width="12.7109375" bestFit="1" customWidth="1"/>
    <col min="16" max="16" width="15.28515625" customWidth="1"/>
  </cols>
  <sheetData>
    <row r="1" spans="1:15" s="50" customFormat="1" ht="15.75" thickBot="1" x14ac:dyDescent="0.3">
      <c r="A1" s="64" t="s">
        <v>0</v>
      </c>
      <c r="B1" s="51" t="s">
        <v>1</v>
      </c>
      <c r="C1" s="51" t="s">
        <v>2</v>
      </c>
      <c r="D1" s="68" t="s">
        <v>3</v>
      </c>
      <c r="E1" s="80" t="s">
        <v>4</v>
      </c>
      <c r="F1" s="80"/>
      <c r="G1" s="80" t="s">
        <v>6</v>
      </c>
      <c r="H1" s="71" t="s">
        <v>8</v>
      </c>
      <c r="I1" s="65" t="s">
        <v>379</v>
      </c>
      <c r="J1" s="191" t="s">
        <v>380</v>
      </c>
      <c r="O1"/>
    </row>
    <row r="2" spans="1:15" x14ac:dyDescent="0.25">
      <c r="A2" s="26">
        <v>1</v>
      </c>
      <c r="B2" s="27" t="s">
        <v>9</v>
      </c>
      <c r="C2" s="27">
        <v>5</v>
      </c>
      <c r="D2" s="31">
        <v>2</v>
      </c>
      <c r="E2" s="95">
        <v>44681</v>
      </c>
      <c r="F2" s="129" t="s">
        <v>374</v>
      </c>
      <c r="G2" s="129" t="s">
        <v>342</v>
      </c>
      <c r="H2" s="72">
        <v>670114.49</v>
      </c>
      <c r="I2" s="63" t="s">
        <v>270</v>
      </c>
      <c r="J2" s="44"/>
      <c r="O2" s="233">
        <v>24901.85</v>
      </c>
    </row>
    <row r="3" spans="1:15" x14ac:dyDescent="0.25">
      <c r="A3" s="23">
        <v>2</v>
      </c>
      <c r="B3" s="5" t="s">
        <v>9</v>
      </c>
      <c r="C3" s="5">
        <v>6</v>
      </c>
      <c r="D3" s="42">
        <v>2</v>
      </c>
      <c r="E3" s="96">
        <v>44711</v>
      </c>
      <c r="F3" s="112" t="s">
        <v>373</v>
      </c>
      <c r="G3" s="112" t="s">
        <v>343</v>
      </c>
      <c r="H3" s="73">
        <v>979771.04</v>
      </c>
      <c r="I3" s="59" t="s">
        <v>270</v>
      </c>
      <c r="J3" s="44"/>
      <c r="O3" s="233">
        <v>20684.45</v>
      </c>
    </row>
    <row r="4" spans="1:15" x14ac:dyDescent="0.25">
      <c r="A4" s="23">
        <v>3</v>
      </c>
      <c r="B4" s="5" t="s">
        <v>9</v>
      </c>
      <c r="C4" s="5">
        <v>7</v>
      </c>
      <c r="D4" s="42">
        <v>2</v>
      </c>
      <c r="E4" s="96">
        <v>44742</v>
      </c>
      <c r="F4" s="112" t="s">
        <v>372</v>
      </c>
      <c r="G4" s="112" t="s">
        <v>344</v>
      </c>
      <c r="H4" s="73">
        <v>1656853.02</v>
      </c>
      <c r="I4" s="59" t="s">
        <v>270</v>
      </c>
      <c r="J4" s="44"/>
      <c r="O4" s="233">
        <v>3683235.41</v>
      </c>
    </row>
    <row r="5" spans="1:15" x14ac:dyDescent="0.25">
      <c r="A5" s="23">
        <v>4</v>
      </c>
      <c r="B5" s="5" t="s">
        <v>9</v>
      </c>
      <c r="C5" s="5">
        <v>8</v>
      </c>
      <c r="D5" s="42">
        <v>2</v>
      </c>
      <c r="E5" s="96">
        <v>44772</v>
      </c>
      <c r="F5" s="112" t="s">
        <v>371</v>
      </c>
      <c r="G5" s="112" t="s">
        <v>345</v>
      </c>
      <c r="H5" s="73">
        <v>1123380.3</v>
      </c>
      <c r="I5" s="59" t="s">
        <v>270</v>
      </c>
      <c r="J5" s="44"/>
      <c r="O5" s="233">
        <v>28.5</v>
      </c>
    </row>
    <row r="6" spans="1:15" x14ac:dyDescent="0.25">
      <c r="A6" s="23">
        <v>5</v>
      </c>
      <c r="B6" s="5" t="s">
        <v>9</v>
      </c>
      <c r="C6" s="5">
        <v>9</v>
      </c>
      <c r="D6" s="42">
        <v>2</v>
      </c>
      <c r="E6" s="96">
        <v>44803</v>
      </c>
      <c r="F6" s="112" t="s">
        <v>370</v>
      </c>
      <c r="G6" s="112" t="s">
        <v>346</v>
      </c>
      <c r="H6" s="73">
        <v>1774877.39</v>
      </c>
      <c r="I6" s="59" t="s">
        <v>270</v>
      </c>
      <c r="J6" s="44"/>
      <c r="O6" s="233">
        <v>27360</v>
      </c>
    </row>
    <row r="7" spans="1:15" x14ac:dyDescent="0.25">
      <c r="A7" s="23">
        <v>6</v>
      </c>
      <c r="B7" s="5" t="s">
        <v>9</v>
      </c>
      <c r="C7" s="5">
        <v>10</v>
      </c>
      <c r="D7" s="42">
        <v>2</v>
      </c>
      <c r="E7" s="96">
        <v>44834</v>
      </c>
      <c r="F7" s="112" t="s">
        <v>369</v>
      </c>
      <c r="G7" s="112" t="s">
        <v>347</v>
      </c>
      <c r="H7" s="73">
        <v>1708543.91</v>
      </c>
      <c r="I7" s="59" t="s">
        <v>270</v>
      </c>
      <c r="J7" s="44"/>
      <c r="O7" s="233">
        <v>17890.34</v>
      </c>
    </row>
    <row r="8" spans="1:15" x14ac:dyDescent="0.25">
      <c r="A8" s="23">
        <v>7</v>
      </c>
      <c r="B8" s="5" t="s">
        <v>9</v>
      </c>
      <c r="C8" s="5">
        <v>11</v>
      </c>
      <c r="D8" s="42">
        <v>2</v>
      </c>
      <c r="E8" s="96">
        <v>44864</v>
      </c>
      <c r="F8" s="112" t="s">
        <v>368</v>
      </c>
      <c r="G8" s="112" t="s">
        <v>348</v>
      </c>
      <c r="H8" s="73">
        <v>1619446.53</v>
      </c>
      <c r="I8" s="59" t="s">
        <v>270</v>
      </c>
      <c r="J8" s="44"/>
      <c r="O8" s="233">
        <v>22233.77</v>
      </c>
    </row>
    <row r="9" spans="1:15" ht="15.75" thickBot="1" x14ac:dyDescent="0.3">
      <c r="A9" s="29">
        <v>8</v>
      </c>
      <c r="B9" s="30" t="s">
        <v>9</v>
      </c>
      <c r="C9" s="30">
        <v>12</v>
      </c>
      <c r="D9" s="93">
        <v>2</v>
      </c>
      <c r="E9" s="97">
        <v>44895</v>
      </c>
      <c r="F9" s="130" t="s">
        <v>367</v>
      </c>
      <c r="G9" s="130" t="s">
        <v>341</v>
      </c>
      <c r="H9" s="74">
        <v>2239469.15</v>
      </c>
      <c r="I9" s="59" t="s">
        <v>270</v>
      </c>
      <c r="J9" s="44"/>
      <c r="O9" s="233">
        <v>28.5</v>
      </c>
    </row>
    <row r="10" spans="1:15" ht="16.5" thickBot="1" x14ac:dyDescent="0.3">
      <c r="A10" s="52"/>
      <c r="B10" s="53"/>
      <c r="C10" s="53"/>
      <c r="D10" s="94"/>
      <c r="E10" s="98"/>
      <c r="F10" s="137"/>
      <c r="G10" s="138" t="s">
        <v>269</v>
      </c>
      <c r="H10" s="139">
        <f>SUM(H2:H9)</f>
        <v>11772455.83</v>
      </c>
      <c r="I10" s="60">
        <v>2022</v>
      </c>
      <c r="J10" s="44"/>
      <c r="O10" s="233">
        <v>28.5</v>
      </c>
    </row>
    <row r="11" spans="1:15" ht="15.75" thickBot="1" x14ac:dyDescent="0.3">
      <c r="A11" s="132"/>
      <c r="B11" s="133"/>
      <c r="C11" s="133"/>
      <c r="D11" s="134"/>
      <c r="E11" s="127">
        <v>44926</v>
      </c>
      <c r="F11" s="140" t="s">
        <v>165</v>
      </c>
      <c r="G11" s="140" t="s">
        <v>340</v>
      </c>
      <c r="H11" s="141">
        <v>1689353.38</v>
      </c>
      <c r="I11" s="106" t="s">
        <v>273</v>
      </c>
      <c r="J11" s="125" t="s">
        <v>349</v>
      </c>
      <c r="O11" s="233">
        <v>28.5</v>
      </c>
    </row>
    <row r="12" spans="1:15" x14ac:dyDescent="0.25">
      <c r="A12" s="26">
        <v>1</v>
      </c>
      <c r="B12" s="27" t="s">
        <v>9</v>
      </c>
      <c r="C12" s="27">
        <v>1</v>
      </c>
      <c r="D12" s="31">
        <v>2</v>
      </c>
      <c r="E12" s="95">
        <v>44977</v>
      </c>
      <c r="F12" s="88" t="s">
        <v>10</v>
      </c>
      <c r="G12" s="88" t="s">
        <v>291</v>
      </c>
      <c r="H12" s="72">
        <v>24901.85</v>
      </c>
      <c r="I12" s="63" t="s">
        <v>273</v>
      </c>
      <c r="J12" s="44"/>
      <c r="O12" s="233">
        <v>26248.5</v>
      </c>
    </row>
    <row r="13" spans="1:15" ht="15.75" thickBot="1" x14ac:dyDescent="0.3">
      <c r="A13" s="29">
        <v>2</v>
      </c>
      <c r="B13" s="30" t="s">
        <v>9</v>
      </c>
      <c r="C13" s="30">
        <v>1</v>
      </c>
      <c r="D13" s="93">
        <v>6</v>
      </c>
      <c r="E13" s="142">
        <v>44957</v>
      </c>
      <c r="F13" s="143" t="s">
        <v>13</v>
      </c>
      <c r="G13" s="143" t="s">
        <v>240</v>
      </c>
      <c r="H13" s="144">
        <v>20684.45</v>
      </c>
      <c r="I13" s="44"/>
      <c r="J13" s="44"/>
      <c r="O13" s="233">
        <v>23.73</v>
      </c>
    </row>
    <row r="14" spans="1:15" ht="15.75" thickBot="1" x14ac:dyDescent="0.3">
      <c r="A14" s="132">
        <v>7</v>
      </c>
      <c r="B14" s="133" t="s">
        <v>9</v>
      </c>
      <c r="C14" s="133">
        <v>1</v>
      </c>
      <c r="D14" s="134">
        <v>23</v>
      </c>
      <c r="E14" s="127">
        <v>44957</v>
      </c>
      <c r="F14" s="140" t="s">
        <v>366</v>
      </c>
      <c r="G14" s="140" t="s">
        <v>339</v>
      </c>
      <c r="H14" s="147">
        <v>3683235.41</v>
      </c>
      <c r="I14" s="106" t="s">
        <v>270</v>
      </c>
      <c r="J14" s="44"/>
      <c r="O14" s="233">
        <v>622.67999999999995</v>
      </c>
    </row>
    <row r="15" spans="1:15" x14ac:dyDescent="0.25">
      <c r="A15" s="26">
        <v>11</v>
      </c>
      <c r="B15" s="27" t="s">
        <v>15</v>
      </c>
      <c r="C15" s="27">
        <v>1</v>
      </c>
      <c r="D15" s="31">
        <v>39</v>
      </c>
      <c r="E15" s="145">
        <v>44957</v>
      </c>
      <c r="F15" s="91" t="s">
        <v>16</v>
      </c>
      <c r="G15" s="91" t="s">
        <v>17</v>
      </c>
      <c r="H15" s="146">
        <v>28.5</v>
      </c>
      <c r="I15" s="57"/>
      <c r="J15" s="44"/>
      <c r="O15" s="233">
        <v>86889.1</v>
      </c>
    </row>
    <row r="16" spans="1:15" x14ac:dyDescent="0.25">
      <c r="A16" s="23">
        <v>3</v>
      </c>
      <c r="B16" s="5" t="s">
        <v>9</v>
      </c>
      <c r="C16" s="5">
        <v>2</v>
      </c>
      <c r="D16" s="42">
        <v>10</v>
      </c>
      <c r="E16" s="99">
        <v>44958</v>
      </c>
      <c r="F16" s="83" t="s">
        <v>20</v>
      </c>
      <c r="G16" s="83" t="s">
        <v>21</v>
      </c>
      <c r="H16" s="75">
        <v>17890.34</v>
      </c>
      <c r="I16" s="57"/>
      <c r="J16" s="44"/>
      <c r="L16" s="233">
        <f>36811598.38-36665009.35</f>
        <v>146589.03000000119</v>
      </c>
      <c r="O16" s="233">
        <v>1782874.39</v>
      </c>
    </row>
    <row r="17" spans="1:15" x14ac:dyDescent="0.25">
      <c r="A17" s="23">
        <v>5</v>
      </c>
      <c r="B17" s="5" t="s">
        <v>9</v>
      </c>
      <c r="C17" s="5">
        <v>2</v>
      </c>
      <c r="D17" s="42">
        <v>19</v>
      </c>
      <c r="E17" s="99">
        <v>44958</v>
      </c>
      <c r="F17" s="83" t="s">
        <v>20</v>
      </c>
      <c r="G17" s="83" t="s">
        <v>22</v>
      </c>
      <c r="H17" s="75">
        <v>22233.77</v>
      </c>
      <c r="I17" s="57"/>
      <c r="J17" s="44"/>
      <c r="L17" s="233"/>
      <c r="O17" s="233">
        <v>28.5</v>
      </c>
    </row>
    <row r="18" spans="1:15" x14ac:dyDescent="0.25">
      <c r="A18" s="23">
        <v>1</v>
      </c>
      <c r="B18" s="5" t="s">
        <v>15</v>
      </c>
      <c r="C18" s="5">
        <v>2</v>
      </c>
      <c r="D18" s="42">
        <v>1</v>
      </c>
      <c r="E18" s="99">
        <v>44958</v>
      </c>
      <c r="F18" s="83" t="s">
        <v>16</v>
      </c>
      <c r="G18" s="83" t="s">
        <v>17</v>
      </c>
      <c r="H18" s="75">
        <v>28.5</v>
      </c>
      <c r="I18" s="57"/>
      <c r="J18" s="44"/>
      <c r="L18" s="233">
        <f>177837.03-31248</f>
        <v>146589.03</v>
      </c>
      <c r="O18" s="233">
        <v>7125</v>
      </c>
    </row>
    <row r="19" spans="1:15" x14ac:dyDescent="0.25">
      <c r="A19" s="23">
        <v>8</v>
      </c>
      <c r="B19" s="5" t="s">
        <v>15</v>
      </c>
      <c r="C19" s="5">
        <v>2</v>
      </c>
      <c r="D19" s="42">
        <v>27</v>
      </c>
      <c r="E19" s="99">
        <v>44971</v>
      </c>
      <c r="F19" s="83" t="s">
        <v>16</v>
      </c>
      <c r="G19" s="83" t="s">
        <v>17</v>
      </c>
      <c r="H19" s="75">
        <v>28.5</v>
      </c>
      <c r="I19" s="57"/>
      <c r="J19" s="44"/>
      <c r="L19" s="233"/>
      <c r="O19" s="233">
        <v>548554.93000000005</v>
      </c>
    </row>
    <row r="20" spans="1:15" x14ac:dyDescent="0.25">
      <c r="A20" s="23">
        <v>9</v>
      </c>
      <c r="B20" s="5" t="s">
        <v>15</v>
      </c>
      <c r="C20" s="5">
        <v>2</v>
      </c>
      <c r="D20" s="42">
        <v>33</v>
      </c>
      <c r="E20" s="99">
        <v>44972</v>
      </c>
      <c r="F20" s="83" t="s">
        <v>16</v>
      </c>
      <c r="G20" s="83" t="s">
        <v>17</v>
      </c>
      <c r="H20" s="75">
        <v>28.5</v>
      </c>
      <c r="I20" s="57"/>
      <c r="J20" s="44"/>
      <c r="L20" s="233"/>
      <c r="O20" s="233">
        <v>2263634.61</v>
      </c>
    </row>
    <row r="21" spans="1:15" x14ac:dyDescent="0.25">
      <c r="A21" s="23">
        <v>1</v>
      </c>
      <c r="B21" s="5" t="s">
        <v>9</v>
      </c>
      <c r="C21" s="5">
        <v>2</v>
      </c>
      <c r="D21" s="42">
        <v>2</v>
      </c>
      <c r="E21" s="99">
        <v>44973</v>
      </c>
      <c r="F21" s="83" t="s">
        <v>23</v>
      </c>
      <c r="G21" s="83" t="s">
        <v>24</v>
      </c>
      <c r="H21" s="75">
        <v>26248.5</v>
      </c>
      <c r="I21" s="57"/>
      <c r="J21" s="44"/>
      <c r="O21" s="233">
        <v>14936.55</v>
      </c>
    </row>
    <row r="22" spans="1:15" x14ac:dyDescent="0.25">
      <c r="A22" s="23">
        <v>7</v>
      </c>
      <c r="B22" s="5" t="s">
        <v>9</v>
      </c>
      <c r="C22" s="5">
        <v>5</v>
      </c>
      <c r="D22" s="42">
        <v>27</v>
      </c>
      <c r="E22" s="99">
        <v>44983</v>
      </c>
      <c r="F22" s="83" t="s">
        <v>16</v>
      </c>
      <c r="G22" s="83" t="s">
        <v>241</v>
      </c>
      <c r="H22" s="75">
        <v>23.73</v>
      </c>
      <c r="I22" s="57"/>
      <c r="J22" s="44"/>
      <c r="O22" s="233">
        <v>19579.25</v>
      </c>
    </row>
    <row r="23" spans="1:15" x14ac:dyDescent="0.25">
      <c r="A23" s="23">
        <v>7</v>
      </c>
      <c r="B23" s="5" t="s">
        <v>9</v>
      </c>
      <c r="C23" s="5">
        <v>5</v>
      </c>
      <c r="D23" s="42">
        <v>32</v>
      </c>
      <c r="E23" s="99">
        <v>44983</v>
      </c>
      <c r="F23" s="83" t="s">
        <v>16</v>
      </c>
      <c r="G23" s="83" t="s">
        <v>241</v>
      </c>
      <c r="H23" s="75">
        <v>622.67999999999995</v>
      </c>
      <c r="I23" s="57"/>
      <c r="J23" s="44"/>
      <c r="O23" s="233">
        <v>34289.019999999997</v>
      </c>
    </row>
    <row r="24" spans="1:15" ht="15.75" thickBot="1" x14ac:dyDescent="0.3">
      <c r="A24" s="29">
        <v>8</v>
      </c>
      <c r="B24" s="30" t="s">
        <v>9</v>
      </c>
      <c r="C24" s="30">
        <v>5</v>
      </c>
      <c r="D24" s="93">
        <v>35</v>
      </c>
      <c r="E24" s="142">
        <v>44984</v>
      </c>
      <c r="F24" s="143" t="s">
        <v>26</v>
      </c>
      <c r="G24" s="143" t="s">
        <v>27</v>
      </c>
      <c r="H24" s="144">
        <v>86889.1</v>
      </c>
      <c r="I24" s="57"/>
      <c r="J24" s="44"/>
      <c r="O24" s="233">
        <v>380</v>
      </c>
    </row>
    <row r="25" spans="1:15" ht="15.75" thickBot="1" x14ac:dyDescent="0.3">
      <c r="A25" s="132">
        <v>7</v>
      </c>
      <c r="B25" s="133" t="s">
        <v>9</v>
      </c>
      <c r="C25" s="133">
        <v>2</v>
      </c>
      <c r="D25" s="134">
        <v>25</v>
      </c>
      <c r="E25" s="127">
        <v>44985</v>
      </c>
      <c r="F25" s="140" t="s">
        <v>365</v>
      </c>
      <c r="G25" s="140" t="s">
        <v>338</v>
      </c>
      <c r="H25" s="147">
        <v>1782874.39</v>
      </c>
      <c r="I25" s="106" t="s">
        <v>270</v>
      </c>
      <c r="J25" s="44"/>
      <c r="O25" s="233">
        <v>114</v>
      </c>
    </row>
    <row r="26" spans="1:15" x14ac:dyDescent="0.25">
      <c r="A26" s="26">
        <v>7</v>
      </c>
      <c r="B26" s="27" t="s">
        <v>15</v>
      </c>
      <c r="C26" s="27">
        <v>3</v>
      </c>
      <c r="D26" s="31">
        <v>22</v>
      </c>
      <c r="E26" s="145">
        <v>44993</v>
      </c>
      <c r="F26" s="91" t="s">
        <v>16</v>
      </c>
      <c r="G26" s="91" t="s">
        <v>17</v>
      </c>
      <c r="H26" s="146">
        <v>28.5</v>
      </c>
      <c r="I26" s="57"/>
      <c r="J26" s="44"/>
      <c r="O26" s="233">
        <v>1401272.81</v>
      </c>
    </row>
    <row r="27" spans="1:15" x14ac:dyDescent="0.25">
      <c r="A27" s="23">
        <v>1</v>
      </c>
      <c r="B27" s="5" t="s">
        <v>9</v>
      </c>
      <c r="C27" s="5">
        <v>3</v>
      </c>
      <c r="D27" s="42">
        <v>2</v>
      </c>
      <c r="E27" s="99">
        <v>45001</v>
      </c>
      <c r="F27" s="83" t="s">
        <v>28</v>
      </c>
      <c r="G27" s="83" t="s">
        <v>29</v>
      </c>
      <c r="H27" s="75">
        <v>7125</v>
      </c>
      <c r="I27" s="57"/>
      <c r="J27" s="44"/>
      <c r="O27" s="233">
        <v>8701.43</v>
      </c>
    </row>
    <row r="28" spans="1:15" ht="15.75" thickBot="1" x14ac:dyDescent="0.3">
      <c r="A28" s="29">
        <v>4</v>
      </c>
      <c r="B28" s="30" t="s">
        <v>9</v>
      </c>
      <c r="C28" s="30">
        <v>3</v>
      </c>
      <c r="D28" s="93">
        <v>8</v>
      </c>
      <c r="E28" s="142">
        <v>45007</v>
      </c>
      <c r="F28" s="242" t="s">
        <v>16</v>
      </c>
      <c r="G28" s="242" t="s">
        <v>30</v>
      </c>
      <c r="H28" s="243">
        <v>548554.93000000005</v>
      </c>
      <c r="I28" s="244"/>
      <c r="J28" s="44"/>
      <c r="K28" s="67"/>
      <c r="O28" s="233">
        <v>5130</v>
      </c>
    </row>
    <row r="29" spans="1:15" ht="15.75" thickBot="1" x14ac:dyDescent="0.3">
      <c r="A29" s="132">
        <v>5</v>
      </c>
      <c r="B29" s="133" t="s">
        <v>9</v>
      </c>
      <c r="C29" s="133">
        <v>3</v>
      </c>
      <c r="D29" s="134">
        <v>12</v>
      </c>
      <c r="E29" s="127">
        <v>45016</v>
      </c>
      <c r="F29" s="140" t="s">
        <v>364</v>
      </c>
      <c r="G29" s="140" t="s">
        <v>337</v>
      </c>
      <c r="H29" s="147">
        <v>2263634.61</v>
      </c>
      <c r="I29" s="106" t="s">
        <v>270</v>
      </c>
      <c r="J29" s="44"/>
      <c r="O29" s="233">
        <v>19000</v>
      </c>
    </row>
    <row r="30" spans="1:15" x14ac:dyDescent="0.25">
      <c r="A30" s="26">
        <v>4</v>
      </c>
      <c r="B30" s="27" t="s">
        <v>9</v>
      </c>
      <c r="C30" s="27">
        <v>2</v>
      </c>
      <c r="D30" s="31">
        <v>15</v>
      </c>
      <c r="E30" s="145">
        <v>45017</v>
      </c>
      <c r="F30" s="91" t="s">
        <v>20</v>
      </c>
      <c r="G30" s="91" t="s">
        <v>31</v>
      </c>
      <c r="H30" s="146">
        <v>14936.55</v>
      </c>
      <c r="I30" s="57"/>
      <c r="J30" s="44"/>
      <c r="O30" s="233">
        <v>7182</v>
      </c>
    </row>
    <row r="31" spans="1:15" x14ac:dyDescent="0.25">
      <c r="A31" s="23">
        <v>1</v>
      </c>
      <c r="B31" s="5" t="s">
        <v>9</v>
      </c>
      <c r="C31" s="5">
        <v>4</v>
      </c>
      <c r="D31" s="42">
        <v>2</v>
      </c>
      <c r="E31" s="99">
        <v>45018</v>
      </c>
      <c r="F31" s="83" t="s">
        <v>32</v>
      </c>
      <c r="G31" s="83" t="s">
        <v>33</v>
      </c>
      <c r="H31" s="75">
        <v>19579.25</v>
      </c>
      <c r="I31" s="57"/>
      <c r="J31" s="44"/>
      <c r="O31" s="233">
        <v>19</v>
      </c>
    </row>
    <row r="32" spans="1:15" x14ac:dyDescent="0.25">
      <c r="A32" s="23">
        <v>2</v>
      </c>
      <c r="B32" s="5" t="s">
        <v>9</v>
      </c>
      <c r="C32" s="5">
        <v>4</v>
      </c>
      <c r="D32" s="42">
        <v>7</v>
      </c>
      <c r="E32" s="99">
        <v>45025</v>
      </c>
      <c r="F32" s="83" t="s">
        <v>34</v>
      </c>
      <c r="G32" s="83" t="s">
        <v>35</v>
      </c>
      <c r="H32" s="75">
        <v>34289.019999999997</v>
      </c>
      <c r="I32" s="57"/>
      <c r="J32" s="44"/>
      <c r="L32" s="67"/>
      <c r="M32" s="67"/>
      <c r="O32" s="233">
        <v>19</v>
      </c>
    </row>
    <row r="33" spans="1:15" x14ac:dyDescent="0.25">
      <c r="A33" s="23">
        <v>18</v>
      </c>
      <c r="B33" s="5" t="s">
        <v>15</v>
      </c>
      <c r="C33" s="5">
        <v>4</v>
      </c>
      <c r="D33" s="42">
        <v>56</v>
      </c>
      <c r="E33" s="99">
        <v>45039</v>
      </c>
      <c r="F33" s="83" t="s">
        <v>16</v>
      </c>
      <c r="G33" s="83" t="s">
        <v>36</v>
      </c>
      <c r="H33" s="75">
        <v>380</v>
      </c>
      <c r="I33" s="57"/>
      <c r="J33" s="44"/>
      <c r="O33" s="233">
        <v>19</v>
      </c>
    </row>
    <row r="34" spans="1:15" ht="15.75" thickBot="1" x14ac:dyDescent="0.3">
      <c r="A34" s="29">
        <v>20</v>
      </c>
      <c r="B34" s="30" t="s">
        <v>15</v>
      </c>
      <c r="C34" s="30">
        <v>4</v>
      </c>
      <c r="D34" s="93">
        <v>62</v>
      </c>
      <c r="E34" s="142">
        <v>45040</v>
      </c>
      <c r="F34" s="143" t="s">
        <v>16</v>
      </c>
      <c r="G34" s="143" t="s">
        <v>36</v>
      </c>
      <c r="H34" s="144">
        <v>114</v>
      </c>
      <c r="I34" s="57"/>
      <c r="J34" s="44"/>
      <c r="O34" s="233">
        <v>2845.5</v>
      </c>
    </row>
    <row r="35" spans="1:15" ht="15.75" thickBot="1" x14ac:dyDescent="0.3">
      <c r="A35" s="132">
        <v>5</v>
      </c>
      <c r="B35" s="133" t="s">
        <v>9</v>
      </c>
      <c r="C35" s="133">
        <v>4</v>
      </c>
      <c r="D35" s="134">
        <v>12</v>
      </c>
      <c r="E35" s="127">
        <v>45046</v>
      </c>
      <c r="F35" s="140" t="s">
        <v>363</v>
      </c>
      <c r="G35" s="140" t="s">
        <v>336</v>
      </c>
      <c r="H35" s="147">
        <v>1401272.81</v>
      </c>
      <c r="I35" s="106" t="s">
        <v>270</v>
      </c>
      <c r="J35" s="44"/>
      <c r="O35" s="233">
        <v>54729</v>
      </c>
    </row>
    <row r="36" spans="1:15" x14ac:dyDescent="0.25">
      <c r="A36" s="26">
        <v>1</v>
      </c>
      <c r="B36" s="27" t="s">
        <v>9</v>
      </c>
      <c r="C36" s="27">
        <v>5</v>
      </c>
      <c r="D36" s="31">
        <v>2</v>
      </c>
      <c r="E36" s="145">
        <v>45050</v>
      </c>
      <c r="F36" s="91" t="s">
        <v>37</v>
      </c>
      <c r="G36" s="91" t="s">
        <v>38</v>
      </c>
      <c r="H36" s="146">
        <v>8701.43</v>
      </c>
      <c r="I36" s="57"/>
      <c r="J36" s="44"/>
      <c r="O36" s="233">
        <v>76</v>
      </c>
    </row>
    <row r="37" spans="1:15" x14ac:dyDescent="0.25">
      <c r="A37" s="23">
        <v>2</v>
      </c>
      <c r="B37" s="5" t="s">
        <v>9</v>
      </c>
      <c r="C37" s="5">
        <v>5</v>
      </c>
      <c r="D37" s="42">
        <v>7</v>
      </c>
      <c r="E37" s="99">
        <v>45050</v>
      </c>
      <c r="F37" s="83" t="s">
        <v>39</v>
      </c>
      <c r="G37" s="83" t="s">
        <v>40</v>
      </c>
      <c r="H37" s="75">
        <v>5130</v>
      </c>
      <c r="I37" s="57"/>
      <c r="J37" s="44"/>
      <c r="O37" s="233">
        <v>14936.55</v>
      </c>
    </row>
    <row r="38" spans="1:15" x14ac:dyDescent="0.25">
      <c r="A38" s="23">
        <v>3</v>
      </c>
      <c r="B38" s="5" t="s">
        <v>9</v>
      </c>
      <c r="C38" s="5">
        <v>5</v>
      </c>
      <c r="D38" s="42">
        <v>11</v>
      </c>
      <c r="E38" s="99">
        <v>45052</v>
      </c>
      <c r="F38" s="83" t="s">
        <v>41</v>
      </c>
      <c r="G38" s="83" t="s">
        <v>42</v>
      </c>
      <c r="H38" s="75">
        <v>19000</v>
      </c>
      <c r="I38" s="57"/>
      <c r="J38" s="44"/>
      <c r="O38" s="233">
        <v>14936.55</v>
      </c>
    </row>
    <row r="39" spans="1:15" x14ac:dyDescent="0.25">
      <c r="A39" s="23">
        <v>9</v>
      </c>
      <c r="B39" s="5" t="s">
        <v>9</v>
      </c>
      <c r="C39" s="5">
        <v>5</v>
      </c>
      <c r="D39" s="42">
        <v>39</v>
      </c>
      <c r="E39" s="99">
        <v>45053</v>
      </c>
      <c r="F39" s="83" t="s">
        <v>43</v>
      </c>
      <c r="G39" s="83" t="s">
        <v>44</v>
      </c>
      <c r="H39" s="75">
        <v>7182</v>
      </c>
      <c r="I39" s="57"/>
      <c r="J39" s="44"/>
      <c r="O39" s="233">
        <v>1305003.77</v>
      </c>
    </row>
    <row r="40" spans="1:15" x14ac:dyDescent="0.25">
      <c r="A40" s="23">
        <v>3</v>
      </c>
      <c r="B40" s="5" t="s">
        <v>15</v>
      </c>
      <c r="C40" s="5">
        <v>5</v>
      </c>
      <c r="D40" s="42">
        <v>7</v>
      </c>
      <c r="E40" s="99">
        <v>45053</v>
      </c>
      <c r="F40" s="83" t="s">
        <v>16</v>
      </c>
      <c r="G40" s="83" t="s">
        <v>45</v>
      </c>
      <c r="H40" s="75">
        <v>19</v>
      </c>
      <c r="I40" s="57"/>
      <c r="J40" s="44"/>
      <c r="O40" s="233">
        <v>19</v>
      </c>
    </row>
    <row r="41" spans="1:15" x14ac:dyDescent="0.25">
      <c r="A41" s="23">
        <v>7</v>
      </c>
      <c r="B41" s="5" t="s">
        <v>15</v>
      </c>
      <c r="C41" s="5">
        <v>5</v>
      </c>
      <c r="D41" s="42">
        <v>19</v>
      </c>
      <c r="E41" s="99">
        <v>45054</v>
      </c>
      <c r="F41" s="83" t="s">
        <v>16</v>
      </c>
      <c r="G41" s="83" t="s">
        <v>45</v>
      </c>
      <c r="H41" s="75">
        <v>19</v>
      </c>
      <c r="I41" s="57"/>
      <c r="J41" s="44"/>
      <c r="O41" s="233">
        <v>273600</v>
      </c>
    </row>
    <row r="42" spans="1:15" x14ac:dyDescent="0.25">
      <c r="A42" s="23">
        <v>12</v>
      </c>
      <c r="B42" s="5" t="s">
        <v>15</v>
      </c>
      <c r="C42" s="5">
        <v>5</v>
      </c>
      <c r="D42" s="42">
        <v>34</v>
      </c>
      <c r="E42" s="99">
        <v>45057</v>
      </c>
      <c r="F42" s="83" t="s">
        <v>16</v>
      </c>
      <c r="G42" s="83" t="s">
        <v>45</v>
      </c>
      <c r="H42" s="75">
        <v>19</v>
      </c>
      <c r="I42" s="57"/>
      <c r="J42" s="44"/>
      <c r="O42" s="233">
        <v>445528.71</v>
      </c>
    </row>
    <row r="43" spans="1:15" x14ac:dyDescent="0.25">
      <c r="A43" s="23">
        <v>4</v>
      </c>
      <c r="B43" s="5" t="s">
        <v>9</v>
      </c>
      <c r="C43" s="5">
        <v>5</v>
      </c>
      <c r="D43" s="42">
        <v>15</v>
      </c>
      <c r="E43" s="99">
        <v>45069</v>
      </c>
      <c r="F43" s="83" t="s">
        <v>46</v>
      </c>
      <c r="G43" s="83" t="s">
        <v>47</v>
      </c>
      <c r="H43" s="75">
        <v>2845.5</v>
      </c>
      <c r="I43" s="57"/>
      <c r="J43" s="44"/>
      <c r="N43" s="233">
        <v>6065839.9199999999</v>
      </c>
    </row>
    <row r="44" spans="1:15" x14ac:dyDescent="0.25">
      <c r="A44" s="23">
        <v>5</v>
      </c>
      <c r="B44" s="5" t="s">
        <v>9</v>
      </c>
      <c r="C44" s="5">
        <v>5</v>
      </c>
      <c r="D44" s="42">
        <v>19</v>
      </c>
      <c r="E44" s="99">
        <v>45069</v>
      </c>
      <c r="F44" s="83" t="s">
        <v>48</v>
      </c>
      <c r="G44" s="83" t="s">
        <v>49</v>
      </c>
      <c r="H44" s="75">
        <v>54729</v>
      </c>
      <c r="I44" s="57"/>
      <c r="J44" s="44"/>
      <c r="O44" s="233">
        <v>108.19</v>
      </c>
    </row>
    <row r="45" spans="1:15" x14ac:dyDescent="0.25">
      <c r="A45" s="23">
        <v>21</v>
      </c>
      <c r="B45" s="5" t="s">
        <v>15</v>
      </c>
      <c r="C45" s="5">
        <v>5</v>
      </c>
      <c r="D45" s="42">
        <v>61</v>
      </c>
      <c r="E45" s="99">
        <v>45070</v>
      </c>
      <c r="F45" s="83" t="s">
        <v>16</v>
      </c>
      <c r="G45" s="83" t="s">
        <v>45</v>
      </c>
      <c r="H45" s="75">
        <v>76</v>
      </c>
      <c r="I45" s="57"/>
      <c r="J45" s="44"/>
      <c r="O45" s="233">
        <v>282.51</v>
      </c>
    </row>
    <row r="46" spans="1:15" ht="15.75" thickBot="1" x14ac:dyDescent="0.3">
      <c r="A46" s="29">
        <v>3</v>
      </c>
      <c r="B46" s="30" t="s">
        <v>9</v>
      </c>
      <c r="C46" s="30">
        <v>1</v>
      </c>
      <c r="D46" s="93">
        <v>10</v>
      </c>
      <c r="E46" s="142">
        <v>45077</v>
      </c>
      <c r="F46" s="143" t="s">
        <v>51</v>
      </c>
      <c r="G46" s="143" t="s">
        <v>14</v>
      </c>
      <c r="H46" s="144">
        <v>14936.55</v>
      </c>
      <c r="I46" s="57"/>
      <c r="J46" s="44"/>
      <c r="O46" s="233">
        <v>108.19</v>
      </c>
    </row>
    <row r="47" spans="1:15" ht="15.75" thickBot="1" x14ac:dyDescent="0.3">
      <c r="A47" s="132">
        <v>13</v>
      </c>
      <c r="B47" s="133" t="s">
        <v>9</v>
      </c>
      <c r="C47" s="133">
        <v>5</v>
      </c>
      <c r="D47" s="134">
        <v>44</v>
      </c>
      <c r="E47" s="127">
        <v>45077</v>
      </c>
      <c r="F47" s="140" t="s">
        <v>362</v>
      </c>
      <c r="G47" s="140" t="s">
        <v>334</v>
      </c>
      <c r="H47" s="147">
        <v>1305003.77</v>
      </c>
      <c r="I47" s="106" t="s">
        <v>270</v>
      </c>
      <c r="J47" s="44"/>
      <c r="O47" s="233">
        <v>309.02999999999997</v>
      </c>
    </row>
    <row r="48" spans="1:15" x14ac:dyDescent="0.25">
      <c r="A48" s="26">
        <v>24</v>
      </c>
      <c r="B48" s="27" t="s">
        <v>15</v>
      </c>
      <c r="C48" s="27">
        <v>5</v>
      </c>
      <c r="D48" s="31">
        <v>70</v>
      </c>
      <c r="E48" s="145">
        <v>45077</v>
      </c>
      <c r="F48" s="91" t="s">
        <v>16</v>
      </c>
      <c r="G48" s="91" t="s">
        <v>45</v>
      </c>
      <c r="H48" s="146">
        <v>19</v>
      </c>
      <c r="I48" s="57"/>
      <c r="J48" s="44"/>
      <c r="O48" s="233">
        <v>108.19</v>
      </c>
    </row>
    <row r="49" spans="1:15" x14ac:dyDescent="0.25">
      <c r="A49" s="23">
        <v>6</v>
      </c>
      <c r="B49" s="5" t="s">
        <v>9</v>
      </c>
      <c r="C49" s="5">
        <v>5</v>
      </c>
      <c r="D49" s="42">
        <v>23</v>
      </c>
      <c r="E49" s="96">
        <v>45092</v>
      </c>
      <c r="F49" s="82" t="s">
        <v>272</v>
      </c>
      <c r="G49" s="82" t="s">
        <v>271</v>
      </c>
      <c r="H49" s="73">
        <v>273600</v>
      </c>
      <c r="I49" s="59" t="s">
        <v>270</v>
      </c>
      <c r="J49" s="44"/>
      <c r="O49" s="233">
        <v>3875.71</v>
      </c>
    </row>
    <row r="50" spans="1:15" ht="15.75" thickBot="1" x14ac:dyDescent="0.3">
      <c r="A50" s="29">
        <v>41</v>
      </c>
      <c r="B50" s="30" t="s">
        <v>53</v>
      </c>
      <c r="C50" s="30">
        <v>6</v>
      </c>
      <c r="D50" s="93">
        <v>51</v>
      </c>
      <c r="E50" s="148">
        <v>45265</v>
      </c>
      <c r="F50" s="149" t="s">
        <v>361</v>
      </c>
      <c r="G50" s="149" t="s">
        <v>254</v>
      </c>
      <c r="H50" s="74">
        <v>445528.71</v>
      </c>
      <c r="I50" s="66" t="s">
        <v>270</v>
      </c>
      <c r="J50" s="44"/>
      <c r="O50" s="233">
        <v>108.19</v>
      </c>
    </row>
    <row r="51" spans="1:15" ht="15.75" thickBot="1" x14ac:dyDescent="0.3">
      <c r="A51" s="132">
        <v>1</v>
      </c>
      <c r="B51" s="133" t="s">
        <v>9</v>
      </c>
      <c r="C51" s="133">
        <v>6</v>
      </c>
      <c r="D51" s="134">
        <v>2</v>
      </c>
      <c r="E51" s="127">
        <v>45107</v>
      </c>
      <c r="F51" s="140" t="s">
        <v>360</v>
      </c>
      <c r="G51" s="140" t="s">
        <v>335</v>
      </c>
      <c r="H51" s="147">
        <v>2683748.52</v>
      </c>
      <c r="I51" s="150" t="s">
        <v>270</v>
      </c>
      <c r="J51" s="44"/>
      <c r="O51" s="233">
        <v>332.8</v>
      </c>
    </row>
    <row r="52" spans="1:15" x14ac:dyDescent="0.25">
      <c r="A52" s="26">
        <v>20</v>
      </c>
      <c r="B52" s="27" t="s">
        <v>53</v>
      </c>
      <c r="C52" s="27">
        <v>7</v>
      </c>
      <c r="D52" s="31">
        <v>71</v>
      </c>
      <c r="E52" s="145">
        <v>45119</v>
      </c>
      <c r="F52" s="91">
        <v>561230413722</v>
      </c>
      <c r="G52" s="91" t="s">
        <v>54</v>
      </c>
      <c r="H52" s="146">
        <v>108.19</v>
      </c>
      <c r="I52" s="57"/>
      <c r="J52" s="44"/>
      <c r="O52" s="233">
        <v>14.78</v>
      </c>
    </row>
    <row r="53" spans="1:15" x14ac:dyDescent="0.25">
      <c r="A53" s="23">
        <v>20</v>
      </c>
      <c r="B53" s="5" t="s">
        <v>53</v>
      </c>
      <c r="C53" s="5">
        <v>7</v>
      </c>
      <c r="D53" s="42">
        <v>72</v>
      </c>
      <c r="E53" s="99">
        <v>45119</v>
      </c>
      <c r="F53" s="83">
        <v>561230413722</v>
      </c>
      <c r="G53" s="83" t="s">
        <v>54</v>
      </c>
      <c r="H53" s="75">
        <v>282.51</v>
      </c>
      <c r="I53" s="57"/>
      <c r="J53" s="44"/>
      <c r="O53" s="233">
        <v>1856898.87</v>
      </c>
    </row>
    <row r="54" spans="1:15" x14ac:dyDescent="0.25">
      <c r="A54" s="23">
        <v>21</v>
      </c>
      <c r="B54" s="5" t="s">
        <v>53</v>
      </c>
      <c r="C54" s="5">
        <v>7</v>
      </c>
      <c r="D54" s="42">
        <v>76</v>
      </c>
      <c r="E54" s="99">
        <v>45119</v>
      </c>
      <c r="F54" s="83">
        <v>561230413787</v>
      </c>
      <c r="G54" s="83" t="s">
        <v>54</v>
      </c>
      <c r="H54" s="75">
        <v>108.19</v>
      </c>
      <c r="I54" s="57"/>
      <c r="J54" s="44"/>
      <c r="O54" s="233">
        <v>17251.68</v>
      </c>
    </row>
    <row r="55" spans="1:15" x14ac:dyDescent="0.25">
      <c r="A55" s="23">
        <v>21</v>
      </c>
      <c r="B55" s="5" t="s">
        <v>53</v>
      </c>
      <c r="C55" s="5">
        <v>7</v>
      </c>
      <c r="D55" s="42">
        <v>77</v>
      </c>
      <c r="E55" s="99">
        <v>45119</v>
      </c>
      <c r="F55" s="83">
        <v>561230413787</v>
      </c>
      <c r="G55" s="83" t="s">
        <v>54</v>
      </c>
      <c r="H55" s="75">
        <v>309.02999999999997</v>
      </c>
      <c r="I55" s="57"/>
      <c r="J55" s="44"/>
      <c r="N55" s="233">
        <v>1794815.87</v>
      </c>
    </row>
    <row r="56" spans="1:15" x14ac:dyDescent="0.25">
      <c r="A56" s="23">
        <v>22</v>
      </c>
      <c r="B56" s="5" t="s">
        <v>53</v>
      </c>
      <c r="C56" s="5">
        <v>7</v>
      </c>
      <c r="D56" s="42">
        <v>81</v>
      </c>
      <c r="E56" s="99">
        <v>45119</v>
      </c>
      <c r="F56" s="83">
        <v>561230413721</v>
      </c>
      <c r="G56" s="83" t="s">
        <v>54</v>
      </c>
      <c r="H56" s="75">
        <v>108.19</v>
      </c>
      <c r="I56" s="57"/>
      <c r="J56" s="44"/>
      <c r="O56" s="233">
        <v>19</v>
      </c>
    </row>
    <row r="57" spans="1:15" x14ac:dyDescent="0.25">
      <c r="A57" s="23">
        <v>22</v>
      </c>
      <c r="B57" s="5" t="s">
        <v>53</v>
      </c>
      <c r="C57" s="5">
        <v>7</v>
      </c>
      <c r="D57" s="42">
        <v>82</v>
      </c>
      <c r="E57" s="99">
        <v>45119</v>
      </c>
      <c r="F57" s="83">
        <v>561230413721</v>
      </c>
      <c r="G57" s="83" t="s">
        <v>54</v>
      </c>
      <c r="H57" s="75">
        <v>3875.71</v>
      </c>
      <c r="I57" s="57"/>
      <c r="J57" s="44"/>
      <c r="N57" s="233">
        <v>5380904.6500000004</v>
      </c>
    </row>
    <row r="58" spans="1:15" x14ac:dyDescent="0.25">
      <c r="A58" s="23">
        <v>23</v>
      </c>
      <c r="B58" s="5" t="s">
        <v>53</v>
      </c>
      <c r="C58" s="5">
        <v>7</v>
      </c>
      <c r="D58" s="42">
        <v>86</v>
      </c>
      <c r="E58" s="99">
        <v>45119</v>
      </c>
      <c r="F58" s="83">
        <v>561230413787</v>
      </c>
      <c r="G58" s="83" t="s">
        <v>54</v>
      </c>
      <c r="H58" s="75">
        <v>108.19</v>
      </c>
      <c r="I58" s="57"/>
      <c r="J58" s="44"/>
      <c r="O58" s="233">
        <v>19</v>
      </c>
    </row>
    <row r="59" spans="1:15" x14ac:dyDescent="0.25">
      <c r="A59" s="23">
        <v>23</v>
      </c>
      <c r="B59" s="5" t="s">
        <v>53</v>
      </c>
      <c r="C59" s="5">
        <v>7</v>
      </c>
      <c r="D59" s="42">
        <v>87</v>
      </c>
      <c r="E59" s="99">
        <v>45119</v>
      </c>
      <c r="F59" s="83">
        <v>561230413787</v>
      </c>
      <c r="G59" s="83" t="s">
        <v>54</v>
      </c>
      <c r="H59" s="75">
        <v>332.8</v>
      </c>
      <c r="I59" s="57"/>
      <c r="J59" s="44"/>
      <c r="O59" s="233">
        <v>19</v>
      </c>
    </row>
    <row r="60" spans="1:15" x14ac:dyDescent="0.25">
      <c r="A60" s="23">
        <v>24</v>
      </c>
      <c r="B60" s="5" t="s">
        <v>53</v>
      </c>
      <c r="C60" s="5">
        <v>7</v>
      </c>
      <c r="D60" s="42">
        <v>91</v>
      </c>
      <c r="E60" s="99">
        <v>45119</v>
      </c>
      <c r="F60" s="83">
        <v>561230413765</v>
      </c>
      <c r="G60" s="83" t="s">
        <v>54</v>
      </c>
      <c r="H60" s="75">
        <v>14.78</v>
      </c>
      <c r="I60" s="57"/>
      <c r="J60" s="44"/>
      <c r="O60" s="233">
        <v>19</v>
      </c>
    </row>
    <row r="61" spans="1:15" x14ac:dyDescent="0.25">
      <c r="A61" s="23">
        <v>4</v>
      </c>
      <c r="B61" s="5" t="s">
        <v>9</v>
      </c>
      <c r="C61" s="5">
        <v>12</v>
      </c>
      <c r="D61" s="42">
        <v>16</v>
      </c>
      <c r="E61" s="99">
        <v>45137</v>
      </c>
      <c r="F61" s="83" t="s">
        <v>55</v>
      </c>
      <c r="G61" s="83" t="s">
        <v>56</v>
      </c>
      <c r="H61" s="75">
        <v>1856898.87</v>
      </c>
      <c r="I61" s="57"/>
      <c r="J61" s="44"/>
      <c r="O61" s="233">
        <v>19</v>
      </c>
    </row>
    <row r="62" spans="1:15" ht="15.75" thickBot="1" x14ac:dyDescent="0.3">
      <c r="A62" s="29">
        <v>5</v>
      </c>
      <c r="B62" s="30" t="s">
        <v>9</v>
      </c>
      <c r="C62" s="30">
        <v>1</v>
      </c>
      <c r="D62" s="93">
        <v>18</v>
      </c>
      <c r="E62" s="142">
        <v>45138</v>
      </c>
      <c r="F62" s="143" t="s">
        <v>57</v>
      </c>
      <c r="G62" s="143" t="s">
        <v>267</v>
      </c>
      <c r="H62" s="144">
        <v>17251.68</v>
      </c>
      <c r="I62" s="57"/>
      <c r="J62" s="44"/>
      <c r="O62" s="233">
        <v>19</v>
      </c>
    </row>
    <row r="63" spans="1:15" ht="15.75" thickBot="1" x14ac:dyDescent="0.3">
      <c r="A63" s="132">
        <v>2</v>
      </c>
      <c r="B63" s="133" t="s">
        <v>9</v>
      </c>
      <c r="C63" s="133">
        <v>7</v>
      </c>
      <c r="D63" s="134">
        <v>4</v>
      </c>
      <c r="E63" s="127">
        <v>45138</v>
      </c>
      <c r="F63" s="140" t="s">
        <v>359</v>
      </c>
      <c r="G63" s="140" t="s">
        <v>332</v>
      </c>
      <c r="H63" s="147">
        <v>796670.23</v>
      </c>
      <c r="I63" s="150" t="s">
        <v>270</v>
      </c>
      <c r="J63" s="44"/>
      <c r="O63" s="233">
        <v>19</v>
      </c>
    </row>
    <row r="64" spans="1:15" ht="15.75" thickBot="1" x14ac:dyDescent="0.3">
      <c r="A64" s="151">
        <v>31</v>
      </c>
      <c r="B64" s="114" t="s">
        <v>15</v>
      </c>
      <c r="C64" s="114">
        <v>8</v>
      </c>
      <c r="D64" s="115">
        <v>98</v>
      </c>
      <c r="E64" s="152">
        <v>45167</v>
      </c>
      <c r="F64" s="44" t="s">
        <v>16</v>
      </c>
      <c r="G64" s="44" t="s">
        <v>17</v>
      </c>
      <c r="H64" s="153">
        <v>19</v>
      </c>
      <c r="I64" s="57"/>
      <c r="J64" s="44"/>
      <c r="O64" s="233">
        <v>19</v>
      </c>
    </row>
    <row r="65" spans="1:15" ht="15.75" thickBot="1" x14ac:dyDescent="0.3">
      <c r="A65" s="132">
        <v>1</v>
      </c>
      <c r="B65" s="133" t="s">
        <v>9</v>
      </c>
      <c r="C65" s="133">
        <v>8</v>
      </c>
      <c r="D65" s="134">
        <v>2</v>
      </c>
      <c r="E65" s="127">
        <v>45169</v>
      </c>
      <c r="F65" s="140" t="s">
        <v>358</v>
      </c>
      <c r="G65" s="140" t="s">
        <v>333</v>
      </c>
      <c r="H65" s="147">
        <v>2371869.69</v>
      </c>
      <c r="I65" s="150" t="s">
        <v>270</v>
      </c>
      <c r="J65" s="44"/>
      <c r="O65" s="233">
        <v>28.5</v>
      </c>
    </row>
    <row r="66" spans="1:15" x14ac:dyDescent="0.25">
      <c r="A66" s="26">
        <v>34</v>
      </c>
      <c r="B66" s="27" t="s">
        <v>15</v>
      </c>
      <c r="C66" s="27">
        <v>8</v>
      </c>
      <c r="D66" s="31">
        <v>108</v>
      </c>
      <c r="E66" s="145">
        <v>45169</v>
      </c>
      <c r="F66" s="91" t="s">
        <v>16</v>
      </c>
      <c r="G66" s="91" t="s">
        <v>17</v>
      </c>
      <c r="H66" s="146">
        <v>19</v>
      </c>
      <c r="I66" s="57"/>
      <c r="J66" s="44"/>
      <c r="N66" s="233">
        <v>3930042.87</v>
      </c>
      <c r="O66" s="233">
        <v>28.5</v>
      </c>
    </row>
    <row r="67" spans="1:15" ht="15.75" thickBot="1" x14ac:dyDescent="0.3">
      <c r="A67" s="24">
        <v>1</v>
      </c>
      <c r="B67" s="25" t="s">
        <v>15</v>
      </c>
      <c r="C67" s="25">
        <v>9</v>
      </c>
      <c r="D67" s="43">
        <v>2</v>
      </c>
      <c r="E67" s="100">
        <v>45180</v>
      </c>
      <c r="F67" s="84" t="s">
        <v>16</v>
      </c>
      <c r="G67" s="84" t="s">
        <v>17</v>
      </c>
      <c r="H67" s="76">
        <v>19</v>
      </c>
      <c r="I67" s="61"/>
      <c r="J67" s="44"/>
    </row>
    <row r="68" spans="1:15" x14ac:dyDescent="0.25">
      <c r="A68" s="21">
        <v>16</v>
      </c>
      <c r="B68" s="22" t="s">
        <v>15</v>
      </c>
      <c r="C68" s="22">
        <v>9</v>
      </c>
      <c r="D68" s="69">
        <v>53</v>
      </c>
      <c r="E68" s="101">
        <v>45180</v>
      </c>
      <c r="F68" s="85" t="s">
        <v>16</v>
      </c>
      <c r="G68" s="85" t="s">
        <v>17</v>
      </c>
      <c r="H68" s="77">
        <v>19</v>
      </c>
      <c r="I68" s="56"/>
      <c r="J68" s="44"/>
      <c r="O68" s="233">
        <v>12559.68</v>
      </c>
    </row>
    <row r="69" spans="1:15" x14ac:dyDescent="0.25">
      <c r="A69" s="23">
        <v>2</v>
      </c>
      <c r="B69" s="5" t="s">
        <v>15</v>
      </c>
      <c r="C69" s="5">
        <v>9</v>
      </c>
      <c r="D69" s="42">
        <v>6</v>
      </c>
      <c r="E69" s="99">
        <v>45181</v>
      </c>
      <c r="F69" s="83" t="s">
        <v>16</v>
      </c>
      <c r="G69" s="83" t="s">
        <v>17</v>
      </c>
      <c r="H69" s="75">
        <v>19</v>
      </c>
      <c r="I69" s="57"/>
      <c r="J69" s="44"/>
      <c r="O69" s="233">
        <v>212385.35</v>
      </c>
    </row>
    <row r="70" spans="1:15" x14ac:dyDescent="0.25">
      <c r="A70" s="23">
        <v>18</v>
      </c>
      <c r="B70" s="5" t="s">
        <v>15</v>
      </c>
      <c r="C70" s="5">
        <v>9</v>
      </c>
      <c r="D70" s="42">
        <v>60</v>
      </c>
      <c r="E70" s="99">
        <v>45181</v>
      </c>
      <c r="F70" s="83" t="s">
        <v>16</v>
      </c>
      <c r="G70" s="83" t="s">
        <v>17</v>
      </c>
      <c r="H70" s="75">
        <v>19</v>
      </c>
      <c r="I70" s="57"/>
      <c r="J70" s="44"/>
      <c r="O70" s="233">
        <v>968701.03</v>
      </c>
    </row>
    <row r="71" spans="1:15" x14ac:dyDescent="0.25">
      <c r="A71" s="23">
        <v>3</v>
      </c>
      <c r="B71" s="5" t="s">
        <v>15</v>
      </c>
      <c r="C71" s="5">
        <v>9</v>
      </c>
      <c r="D71" s="42">
        <v>10</v>
      </c>
      <c r="E71" s="99">
        <v>45182</v>
      </c>
      <c r="F71" s="83" t="s">
        <v>16</v>
      </c>
      <c r="G71" s="83" t="s">
        <v>17</v>
      </c>
      <c r="H71" s="75">
        <v>19</v>
      </c>
      <c r="I71" s="57"/>
      <c r="J71" s="44"/>
      <c r="O71" s="233">
        <v>252778.58</v>
      </c>
    </row>
    <row r="72" spans="1:15" x14ac:dyDescent="0.25">
      <c r="A72" s="23">
        <v>19</v>
      </c>
      <c r="B72" s="5" t="s">
        <v>15</v>
      </c>
      <c r="C72" s="5">
        <v>9</v>
      </c>
      <c r="D72" s="42">
        <v>65</v>
      </c>
      <c r="E72" s="99">
        <v>45182</v>
      </c>
      <c r="F72" s="83" t="s">
        <v>16</v>
      </c>
      <c r="G72" s="83" t="s">
        <v>17</v>
      </c>
      <c r="H72" s="75">
        <v>19</v>
      </c>
      <c r="I72" s="57"/>
      <c r="J72" s="44"/>
      <c r="O72" s="233">
        <v>233840.26</v>
      </c>
    </row>
    <row r="73" spans="1:15" x14ac:dyDescent="0.25">
      <c r="A73" s="23">
        <v>5</v>
      </c>
      <c r="B73" s="5" t="s">
        <v>15</v>
      </c>
      <c r="C73" s="5">
        <v>9</v>
      </c>
      <c r="D73" s="42">
        <v>15</v>
      </c>
      <c r="E73" s="99">
        <v>45183</v>
      </c>
      <c r="F73" s="83" t="s">
        <v>16</v>
      </c>
      <c r="G73" s="83" t="s">
        <v>17</v>
      </c>
      <c r="H73" s="75">
        <v>28.5</v>
      </c>
      <c r="I73" s="57"/>
      <c r="J73" s="44"/>
      <c r="O73" s="233">
        <v>277251.53999999998</v>
      </c>
    </row>
    <row r="74" spans="1:15" ht="15.75" thickBot="1" x14ac:dyDescent="0.3">
      <c r="A74" s="29">
        <v>20</v>
      </c>
      <c r="B74" s="30" t="s">
        <v>15</v>
      </c>
      <c r="C74" s="30">
        <v>9</v>
      </c>
      <c r="D74" s="93">
        <v>70</v>
      </c>
      <c r="E74" s="142">
        <v>45183</v>
      </c>
      <c r="F74" s="143" t="s">
        <v>16</v>
      </c>
      <c r="G74" s="143" t="s">
        <v>17</v>
      </c>
      <c r="H74" s="144">
        <v>28.5</v>
      </c>
      <c r="I74" s="57"/>
      <c r="J74" s="44"/>
      <c r="O74" s="233">
        <v>355583.3</v>
      </c>
    </row>
    <row r="75" spans="1:15" ht="15.75" thickBot="1" x14ac:dyDescent="0.3">
      <c r="A75" s="132">
        <v>2</v>
      </c>
      <c r="B75" s="133" t="s">
        <v>9</v>
      </c>
      <c r="C75" s="133">
        <v>9</v>
      </c>
      <c r="D75" s="134">
        <v>5</v>
      </c>
      <c r="E75" s="127">
        <v>45199</v>
      </c>
      <c r="F75" s="140" t="s">
        <v>357</v>
      </c>
      <c r="G75" s="140" t="s">
        <v>331</v>
      </c>
      <c r="H75" s="147">
        <v>1712353.95</v>
      </c>
      <c r="I75" s="150" t="s">
        <v>270</v>
      </c>
      <c r="J75" s="44"/>
      <c r="O75" s="233">
        <v>313246.71000000002</v>
      </c>
    </row>
    <row r="76" spans="1:15" x14ac:dyDescent="0.25">
      <c r="A76" s="26">
        <v>1</v>
      </c>
      <c r="B76" s="27" t="s">
        <v>58</v>
      </c>
      <c r="C76" s="27">
        <v>10</v>
      </c>
      <c r="D76" s="31">
        <v>2</v>
      </c>
      <c r="E76" s="145">
        <v>45200</v>
      </c>
      <c r="F76" s="91" t="s">
        <v>242</v>
      </c>
      <c r="G76" s="91" t="s">
        <v>60</v>
      </c>
      <c r="H76" s="146">
        <v>12559.68</v>
      </c>
      <c r="I76" s="57"/>
      <c r="J76" s="44"/>
      <c r="O76" s="233">
        <v>548554.93000000005</v>
      </c>
    </row>
    <row r="77" spans="1:15" ht="15.75" thickBot="1" x14ac:dyDescent="0.3">
      <c r="A77" s="29">
        <v>1</v>
      </c>
      <c r="B77" s="30" t="s">
        <v>9</v>
      </c>
      <c r="C77" s="30">
        <v>10</v>
      </c>
      <c r="D77" s="93">
        <v>2</v>
      </c>
      <c r="E77" s="97">
        <v>45208</v>
      </c>
      <c r="F77" s="87" t="s">
        <v>261</v>
      </c>
      <c r="G77" s="87" t="s">
        <v>260</v>
      </c>
      <c r="H77" s="74">
        <v>212385.35</v>
      </c>
      <c r="I77" s="66" t="s">
        <v>270</v>
      </c>
      <c r="J77" s="44"/>
      <c r="O77" s="233">
        <v>319339.84000000003</v>
      </c>
    </row>
    <row r="78" spans="1:15" ht="15.75" thickBot="1" x14ac:dyDescent="0.3">
      <c r="A78" s="132">
        <v>3</v>
      </c>
      <c r="B78" s="133" t="s">
        <v>9</v>
      </c>
      <c r="C78" s="133">
        <v>12</v>
      </c>
      <c r="D78" s="134">
        <v>11</v>
      </c>
      <c r="E78" s="127">
        <v>45217</v>
      </c>
      <c r="F78" s="229" t="s">
        <v>294</v>
      </c>
      <c r="G78" s="229" t="s">
        <v>293</v>
      </c>
      <c r="H78" s="147">
        <v>968701.03</v>
      </c>
      <c r="I78" s="106" t="s">
        <v>270</v>
      </c>
      <c r="J78" s="44"/>
      <c r="O78" s="233">
        <v>140083.20000000001</v>
      </c>
    </row>
    <row r="79" spans="1:15" x14ac:dyDescent="0.25">
      <c r="A79" s="26">
        <v>6</v>
      </c>
      <c r="B79" s="27" t="s">
        <v>9</v>
      </c>
      <c r="C79" s="27">
        <v>11</v>
      </c>
      <c r="D79" s="31">
        <v>24</v>
      </c>
      <c r="E79" s="95">
        <v>45230</v>
      </c>
      <c r="F79" s="232" t="s">
        <v>209</v>
      </c>
      <c r="G79" s="232" t="s">
        <v>275</v>
      </c>
      <c r="H79" s="72">
        <v>252778.58</v>
      </c>
      <c r="I79" s="63" t="s">
        <v>270</v>
      </c>
      <c r="J79" s="44"/>
      <c r="O79" s="233">
        <v>177837.03</v>
      </c>
    </row>
    <row r="80" spans="1:15" x14ac:dyDescent="0.25">
      <c r="A80" s="23">
        <v>7</v>
      </c>
      <c r="B80" s="5" t="s">
        <v>9</v>
      </c>
      <c r="C80" s="5">
        <v>11</v>
      </c>
      <c r="D80" s="42">
        <v>28</v>
      </c>
      <c r="E80" s="96">
        <v>45230</v>
      </c>
      <c r="F80" s="86" t="s">
        <v>210</v>
      </c>
      <c r="G80" s="86" t="s">
        <v>276</v>
      </c>
      <c r="H80" s="73">
        <v>233840.26</v>
      </c>
      <c r="I80" s="59" t="s">
        <v>270</v>
      </c>
      <c r="J80" s="44"/>
      <c r="O80" s="233">
        <v>31248</v>
      </c>
    </row>
    <row r="81" spans="1:15" x14ac:dyDescent="0.25">
      <c r="A81" s="23">
        <v>6</v>
      </c>
      <c r="B81" s="5" t="s">
        <v>9</v>
      </c>
      <c r="C81" s="5">
        <v>12</v>
      </c>
      <c r="D81" s="42">
        <v>23</v>
      </c>
      <c r="E81" s="96">
        <v>45222</v>
      </c>
      <c r="F81" s="109" t="s">
        <v>313</v>
      </c>
      <c r="G81" s="109" t="s">
        <v>309</v>
      </c>
      <c r="H81" s="73">
        <v>277251.53999999998</v>
      </c>
      <c r="I81" s="59" t="s">
        <v>270</v>
      </c>
      <c r="J81" s="44"/>
      <c r="O81" s="233">
        <v>189762.5</v>
      </c>
    </row>
    <row r="82" spans="1:15" x14ac:dyDescent="0.25">
      <c r="A82" s="23">
        <v>7</v>
      </c>
      <c r="B82" s="5" t="s">
        <v>9</v>
      </c>
      <c r="C82" s="5">
        <v>12</v>
      </c>
      <c r="D82" s="42">
        <v>28</v>
      </c>
      <c r="E82" s="96">
        <v>45221</v>
      </c>
      <c r="F82" s="109" t="s">
        <v>311</v>
      </c>
      <c r="G82" s="109" t="s">
        <v>309</v>
      </c>
      <c r="H82" s="73">
        <v>355583.3</v>
      </c>
      <c r="I82" s="63" t="s">
        <v>270</v>
      </c>
      <c r="J82" s="44"/>
      <c r="N82" s="233">
        <v>4176330.32</v>
      </c>
    </row>
    <row r="83" spans="1:15" x14ac:dyDescent="0.25">
      <c r="A83" s="23">
        <v>8</v>
      </c>
      <c r="B83" s="5" t="s">
        <v>9</v>
      </c>
      <c r="C83" s="5">
        <v>12</v>
      </c>
      <c r="D83" s="42">
        <v>33</v>
      </c>
      <c r="E83" s="96">
        <v>45224</v>
      </c>
      <c r="F83" s="109" t="s">
        <v>312</v>
      </c>
      <c r="G83" s="109" t="s">
        <v>309</v>
      </c>
      <c r="H83" s="73">
        <v>313246.71000000002</v>
      </c>
      <c r="I83" s="63" t="s">
        <v>270</v>
      </c>
      <c r="J83" s="44"/>
      <c r="O83" s="233">
        <v>344439.82</v>
      </c>
    </row>
    <row r="84" spans="1:15" ht="15.75" thickBot="1" x14ac:dyDescent="0.3">
      <c r="A84" s="29">
        <v>14</v>
      </c>
      <c r="B84" s="30" t="s">
        <v>9</v>
      </c>
      <c r="C84" s="30">
        <v>10</v>
      </c>
      <c r="D84" s="93">
        <v>64</v>
      </c>
      <c r="E84" s="142">
        <v>45224</v>
      </c>
      <c r="F84" s="242" t="s">
        <v>16</v>
      </c>
      <c r="G84" s="242" t="s">
        <v>30</v>
      </c>
      <c r="H84" s="243">
        <v>548554.93000000005</v>
      </c>
      <c r="I84" s="244"/>
      <c r="J84" s="44"/>
      <c r="O84" s="233">
        <v>1276800</v>
      </c>
    </row>
    <row r="85" spans="1:15" ht="15.75" thickBot="1" x14ac:dyDescent="0.3">
      <c r="A85" s="132">
        <v>3</v>
      </c>
      <c r="B85" s="133" t="s">
        <v>9</v>
      </c>
      <c r="C85" s="133">
        <v>10</v>
      </c>
      <c r="D85" s="134">
        <v>10</v>
      </c>
      <c r="E85" s="127">
        <v>45225</v>
      </c>
      <c r="F85" s="80" t="s">
        <v>72</v>
      </c>
      <c r="G85" s="80" t="s">
        <v>263</v>
      </c>
      <c r="H85" s="147">
        <v>319339.84000000003</v>
      </c>
      <c r="I85" s="106" t="s">
        <v>270</v>
      </c>
      <c r="J85" s="44"/>
      <c r="O85" s="233">
        <v>83277</v>
      </c>
    </row>
    <row r="86" spans="1:15" x14ac:dyDescent="0.25">
      <c r="A86" s="26">
        <v>11</v>
      </c>
      <c r="B86" s="27" t="s">
        <v>9</v>
      </c>
      <c r="C86" s="27">
        <v>10</v>
      </c>
      <c r="D86" s="31">
        <v>48</v>
      </c>
      <c r="E86" s="95">
        <v>45230</v>
      </c>
      <c r="F86" s="88" t="s">
        <v>243</v>
      </c>
      <c r="G86" s="88" t="s">
        <v>292</v>
      </c>
      <c r="H86" s="72">
        <v>140083.20000000001</v>
      </c>
      <c r="I86" s="63" t="s">
        <v>270</v>
      </c>
      <c r="J86" s="44"/>
      <c r="O86" s="233">
        <v>83277</v>
      </c>
    </row>
    <row r="87" spans="1:15" x14ac:dyDescent="0.25">
      <c r="A87" s="23">
        <v>12</v>
      </c>
      <c r="B87" s="5" t="s">
        <v>9</v>
      </c>
      <c r="C87" s="5">
        <v>10</v>
      </c>
      <c r="D87" s="42">
        <v>52</v>
      </c>
      <c r="E87" s="99">
        <v>45229</v>
      </c>
      <c r="F87" s="234" t="s">
        <v>244</v>
      </c>
      <c r="G87" s="234" t="s">
        <v>76</v>
      </c>
      <c r="H87" s="75">
        <v>177837.03</v>
      </c>
      <c r="I87" s="57"/>
      <c r="J87" s="44"/>
      <c r="O87" s="233">
        <v>31248</v>
      </c>
    </row>
    <row r="88" spans="1:15" ht="15.75" thickBot="1" x14ac:dyDescent="0.3">
      <c r="A88" s="29">
        <v>9</v>
      </c>
      <c r="B88" s="30" t="s">
        <v>9</v>
      </c>
      <c r="C88" s="30">
        <v>10</v>
      </c>
      <c r="D88" s="93">
        <v>40</v>
      </c>
      <c r="E88" s="97">
        <v>45230</v>
      </c>
      <c r="F88" s="87" t="s">
        <v>23</v>
      </c>
      <c r="G88" s="87" t="s">
        <v>297</v>
      </c>
      <c r="H88" s="74">
        <v>189762.5</v>
      </c>
      <c r="I88" s="57"/>
      <c r="J88" s="44"/>
      <c r="O88" s="233">
        <v>275756.38</v>
      </c>
    </row>
    <row r="89" spans="1:15" ht="15.75" thickBot="1" x14ac:dyDescent="0.3">
      <c r="A89" s="132">
        <v>15</v>
      </c>
      <c r="B89" s="133" t="s">
        <v>9</v>
      </c>
      <c r="C89" s="133">
        <v>10</v>
      </c>
      <c r="D89" s="134">
        <v>68</v>
      </c>
      <c r="E89" s="127">
        <v>45230</v>
      </c>
      <c r="F89" s="140" t="s">
        <v>356</v>
      </c>
      <c r="G89" s="140" t="s">
        <v>330</v>
      </c>
      <c r="H89" s="147">
        <v>1814919.1</v>
      </c>
      <c r="I89" s="150" t="s">
        <v>270</v>
      </c>
      <c r="J89" s="44"/>
      <c r="O89" s="233">
        <v>175043.63</v>
      </c>
    </row>
    <row r="90" spans="1:15" x14ac:dyDescent="0.25">
      <c r="A90" s="26">
        <v>10</v>
      </c>
      <c r="B90" s="27" t="s">
        <v>9</v>
      </c>
      <c r="C90" s="27">
        <v>12</v>
      </c>
      <c r="D90" s="31">
        <v>44</v>
      </c>
      <c r="E90" s="145">
        <v>45234</v>
      </c>
      <c r="F90" s="91" t="s">
        <v>245</v>
      </c>
      <c r="G90" s="91" t="s">
        <v>80</v>
      </c>
      <c r="H90" s="146">
        <v>344439.82</v>
      </c>
      <c r="I90" s="57"/>
      <c r="J90" s="44"/>
      <c r="K90" s="233">
        <f>36665009.35-177837.03</f>
        <v>36487172.32</v>
      </c>
      <c r="O90" s="233">
        <v>167472.44</v>
      </c>
    </row>
    <row r="91" spans="1:15" ht="15.75" thickBot="1" x14ac:dyDescent="0.3">
      <c r="A91" s="29">
        <v>8</v>
      </c>
      <c r="B91" s="30" t="s">
        <v>9</v>
      </c>
      <c r="C91" s="30">
        <v>11</v>
      </c>
      <c r="D91" s="93">
        <v>32</v>
      </c>
      <c r="E91" s="142">
        <v>45235</v>
      </c>
      <c r="F91" s="143" t="s">
        <v>246</v>
      </c>
      <c r="G91" s="143" t="s">
        <v>82</v>
      </c>
      <c r="H91" s="144">
        <v>1276800</v>
      </c>
      <c r="I91" s="57"/>
      <c r="J91" s="44"/>
      <c r="K91" s="233">
        <f>36811598.38-36665009.35</f>
        <v>146589.03000000119</v>
      </c>
      <c r="O91" s="233">
        <v>319328.46000000002</v>
      </c>
    </row>
    <row r="92" spans="1:15" ht="15.75" thickBot="1" x14ac:dyDescent="0.3">
      <c r="A92" s="132">
        <v>2</v>
      </c>
      <c r="B92" s="133" t="s">
        <v>9</v>
      </c>
      <c r="C92" s="133">
        <v>11</v>
      </c>
      <c r="D92" s="134">
        <v>6</v>
      </c>
      <c r="E92" s="127">
        <v>45237</v>
      </c>
      <c r="F92" s="80" t="s">
        <v>303</v>
      </c>
      <c r="G92" s="80" t="s">
        <v>304</v>
      </c>
      <c r="H92" s="147">
        <v>83277</v>
      </c>
      <c r="I92" s="231" t="s">
        <v>270</v>
      </c>
      <c r="J92" s="44"/>
      <c r="O92" s="233">
        <v>425025.21</v>
      </c>
    </row>
    <row r="93" spans="1:15" x14ac:dyDescent="0.25">
      <c r="A93" s="26">
        <v>3</v>
      </c>
      <c r="B93" s="27" t="s">
        <v>9</v>
      </c>
      <c r="C93" s="27">
        <v>11</v>
      </c>
      <c r="D93" s="31">
        <v>11</v>
      </c>
      <c r="E93" s="95">
        <v>45237</v>
      </c>
      <c r="F93" s="88" t="s">
        <v>305</v>
      </c>
      <c r="G93" s="88" t="s">
        <v>304</v>
      </c>
      <c r="H93" s="72">
        <v>83277</v>
      </c>
      <c r="I93" s="230" t="s">
        <v>270</v>
      </c>
      <c r="J93" s="44"/>
      <c r="O93" s="233">
        <v>387344.54</v>
      </c>
    </row>
    <row r="94" spans="1:15" x14ac:dyDescent="0.25">
      <c r="A94" s="23">
        <v>5</v>
      </c>
      <c r="B94" s="5" t="s">
        <v>9</v>
      </c>
      <c r="C94" s="5">
        <v>11</v>
      </c>
      <c r="D94" s="42">
        <v>20</v>
      </c>
      <c r="E94" s="96">
        <v>45251</v>
      </c>
      <c r="F94" s="86" t="s">
        <v>211</v>
      </c>
      <c r="G94" s="86" t="s">
        <v>277</v>
      </c>
      <c r="H94" s="73">
        <v>31248</v>
      </c>
      <c r="I94" s="59" t="s">
        <v>270</v>
      </c>
      <c r="J94" s="44"/>
      <c r="O94" s="233">
        <v>522743.05</v>
      </c>
    </row>
    <row r="95" spans="1:15" x14ac:dyDescent="0.25">
      <c r="A95" s="23">
        <v>8</v>
      </c>
      <c r="B95" s="5" t="s">
        <v>9</v>
      </c>
      <c r="C95" s="5">
        <v>10</v>
      </c>
      <c r="D95" s="42">
        <v>36</v>
      </c>
      <c r="E95" s="96">
        <v>45238</v>
      </c>
      <c r="F95" s="109" t="s">
        <v>310</v>
      </c>
      <c r="G95" s="109" t="s">
        <v>309</v>
      </c>
      <c r="H95" s="73">
        <v>275756.38</v>
      </c>
      <c r="I95" s="59" t="s">
        <v>270</v>
      </c>
      <c r="J95" s="44"/>
      <c r="N95" s="233">
        <v>4785557.5</v>
      </c>
    </row>
    <row r="96" spans="1:15" x14ac:dyDescent="0.25">
      <c r="A96" s="23">
        <v>7</v>
      </c>
      <c r="B96" s="5" t="s">
        <v>9</v>
      </c>
      <c r="C96" s="5">
        <v>10</v>
      </c>
      <c r="D96" s="42">
        <v>30</v>
      </c>
      <c r="E96" s="96">
        <v>45243</v>
      </c>
      <c r="F96" s="82" t="s">
        <v>315</v>
      </c>
      <c r="G96" s="82" t="s">
        <v>309</v>
      </c>
      <c r="H96" s="73">
        <v>175043.63</v>
      </c>
      <c r="I96" s="59" t="s">
        <v>270</v>
      </c>
      <c r="J96" s="44"/>
      <c r="O96" s="233">
        <v>72200</v>
      </c>
    </row>
    <row r="97" spans="1:15" x14ac:dyDescent="0.25">
      <c r="A97" s="23">
        <v>6</v>
      </c>
      <c r="B97" s="5" t="s">
        <v>9</v>
      </c>
      <c r="C97" s="5">
        <v>10</v>
      </c>
      <c r="D97" s="42">
        <v>26</v>
      </c>
      <c r="E97" s="96">
        <v>45246</v>
      </c>
      <c r="F97" s="109" t="s">
        <v>314</v>
      </c>
      <c r="G97" s="109" t="s">
        <v>309</v>
      </c>
      <c r="H97" s="73">
        <v>167472.44</v>
      </c>
      <c r="I97" s="63" t="s">
        <v>270</v>
      </c>
      <c r="J97" s="44"/>
      <c r="O97" s="233">
        <v>278294.12</v>
      </c>
    </row>
    <row r="98" spans="1:15" x14ac:dyDescent="0.25">
      <c r="A98" s="23">
        <v>4</v>
      </c>
      <c r="B98" s="5" t="s">
        <v>9</v>
      </c>
      <c r="C98" s="5">
        <v>10</v>
      </c>
      <c r="D98" s="42">
        <v>16</v>
      </c>
      <c r="E98" s="96">
        <v>45250</v>
      </c>
      <c r="F98" s="82" t="s">
        <v>91</v>
      </c>
      <c r="G98" s="82" t="s">
        <v>263</v>
      </c>
      <c r="H98" s="73">
        <v>319328.46000000002</v>
      </c>
      <c r="I98" s="59" t="s">
        <v>270</v>
      </c>
      <c r="J98" s="44"/>
      <c r="N98" s="233">
        <v>279124.37</v>
      </c>
    </row>
    <row r="99" spans="1:15" ht="15.75" thickBot="1" x14ac:dyDescent="0.3">
      <c r="A99" s="29">
        <v>4</v>
      </c>
      <c r="B99" s="30" t="s">
        <v>9</v>
      </c>
      <c r="C99" s="30">
        <v>11</v>
      </c>
      <c r="D99" s="93">
        <v>16</v>
      </c>
      <c r="E99" s="97">
        <v>45252</v>
      </c>
      <c r="F99" s="87" t="s">
        <v>247</v>
      </c>
      <c r="G99" s="87" t="s">
        <v>260</v>
      </c>
      <c r="H99" s="74">
        <v>425025.21</v>
      </c>
      <c r="I99" s="66" t="s">
        <v>270</v>
      </c>
      <c r="J99" s="44"/>
      <c r="O99" s="233">
        <v>319327.84000000003</v>
      </c>
    </row>
    <row r="100" spans="1:15" ht="15.75" thickBot="1" x14ac:dyDescent="0.3">
      <c r="A100" s="132">
        <v>1</v>
      </c>
      <c r="B100" s="133" t="s">
        <v>9</v>
      </c>
      <c r="C100" s="133">
        <v>11</v>
      </c>
      <c r="D100" s="134">
        <v>2</v>
      </c>
      <c r="E100" s="127">
        <v>45255</v>
      </c>
      <c r="F100" s="229" t="s">
        <v>248</v>
      </c>
      <c r="G100" s="229" t="s">
        <v>295</v>
      </c>
      <c r="H100" s="147">
        <v>387344.54</v>
      </c>
      <c r="I100" s="106" t="s">
        <v>270</v>
      </c>
      <c r="J100" s="44"/>
      <c r="O100" s="233">
        <v>104120</v>
      </c>
    </row>
    <row r="101" spans="1:15" ht="15.75" thickBot="1" x14ac:dyDescent="0.3">
      <c r="A101" s="151">
        <v>9</v>
      </c>
      <c r="B101" s="114" t="s">
        <v>9</v>
      </c>
      <c r="C101" s="114">
        <v>11</v>
      </c>
      <c r="D101" s="115">
        <v>36</v>
      </c>
      <c r="E101" s="152">
        <v>45256</v>
      </c>
      <c r="F101" s="44" t="s">
        <v>96</v>
      </c>
      <c r="G101" s="44" t="s">
        <v>97</v>
      </c>
      <c r="H101" s="153">
        <v>522743.05</v>
      </c>
      <c r="I101" s="57"/>
      <c r="J101" s="44"/>
      <c r="O101" s="233">
        <v>526890.75</v>
      </c>
    </row>
    <row r="102" spans="1:15" ht="15.75" thickBot="1" x14ac:dyDescent="0.3">
      <c r="A102" s="132">
        <v>10</v>
      </c>
      <c r="B102" s="133" t="s">
        <v>9</v>
      </c>
      <c r="C102" s="133">
        <v>11</v>
      </c>
      <c r="D102" s="134">
        <v>40</v>
      </c>
      <c r="E102" s="127">
        <v>45260</v>
      </c>
      <c r="F102" s="140" t="s">
        <v>355</v>
      </c>
      <c r="G102" s="140" t="s">
        <v>329</v>
      </c>
      <c r="H102" s="147">
        <v>2077002.42</v>
      </c>
      <c r="I102" s="150" t="s">
        <v>270</v>
      </c>
      <c r="J102" s="44"/>
      <c r="O102" s="233">
        <v>886635</v>
      </c>
    </row>
    <row r="103" spans="1:15" x14ac:dyDescent="0.25">
      <c r="A103" s="26">
        <v>10</v>
      </c>
      <c r="B103" s="27" t="s">
        <v>9</v>
      </c>
      <c r="C103" s="27">
        <v>10</v>
      </c>
      <c r="D103" s="31">
        <v>44</v>
      </c>
      <c r="E103" s="95">
        <v>45262</v>
      </c>
      <c r="F103" s="88" t="s">
        <v>302</v>
      </c>
      <c r="G103" s="88" t="s">
        <v>297</v>
      </c>
      <c r="H103" s="72">
        <v>72200</v>
      </c>
      <c r="I103" s="63" t="s">
        <v>270</v>
      </c>
      <c r="J103" s="44"/>
      <c r="O103" s="233">
        <v>83277</v>
      </c>
    </row>
    <row r="104" spans="1:15" x14ac:dyDescent="0.25">
      <c r="A104" s="23">
        <v>9</v>
      </c>
      <c r="B104" s="5" t="s">
        <v>9</v>
      </c>
      <c r="C104" s="5">
        <v>12</v>
      </c>
      <c r="D104" s="42">
        <v>38</v>
      </c>
      <c r="E104" s="96">
        <v>45266</v>
      </c>
      <c r="F104" s="82" t="s">
        <v>318</v>
      </c>
      <c r="G104" s="82" t="s">
        <v>319</v>
      </c>
      <c r="H104" s="73">
        <v>278294.12</v>
      </c>
      <c r="I104" s="55" t="s">
        <v>270</v>
      </c>
      <c r="J104" s="44"/>
      <c r="O104" s="233">
        <v>225639.09</v>
      </c>
    </row>
    <row r="105" spans="1:15" x14ac:dyDescent="0.25">
      <c r="A105" s="23">
        <v>2</v>
      </c>
      <c r="B105" s="5" t="s">
        <v>9</v>
      </c>
      <c r="C105" s="5">
        <v>10</v>
      </c>
      <c r="D105" s="42">
        <v>6</v>
      </c>
      <c r="E105" s="96">
        <v>45267</v>
      </c>
      <c r="F105" s="82" t="s">
        <v>249</v>
      </c>
      <c r="G105" s="82" t="s">
        <v>260</v>
      </c>
      <c r="H105" s="73">
        <v>278964.71000000002</v>
      </c>
      <c r="I105" s="59" t="s">
        <v>270</v>
      </c>
      <c r="J105" s="44"/>
      <c r="K105" s="2"/>
      <c r="O105" s="233">
        <v>217861</v>
      </c>
    </row>
    <row r="106" spans="1:15" x14ac:dyDescent="0.25">
      <c r="A106" s="23">
        <v>5</v>
      </c>
      <c r="B106" s="5" t="s">
        <v>9</v>
      </c>
      <c r="C106" s="5">
        <v>10</v>
      </c>
      <c r="D106" s="42">
        <v>21</v>
      </c>
      <c r="E106" s="96">
        <v>45267</v>
      </c>
      <c r="F106" s="82" t="s">
        <v>102</v>
      </c>
      <c r="G106" s="82" t="s">
        <v>263</v>
      </c>
      <c r="H106" s="73">
        <v>319327.84000000003</v>
      </c>
      <c r="I106" s="59" t="s">
        <v>270</v>
      </c>
      <c r="J106" s="44"/>
      <c r="O106" s="233">
        <v>90744.28</v>
      </c>
    </row>
    <row r="107" spans="1:15" x14ac:dyDescent="0.25">
      <c r="A107" s="23">
        <v>14</v>
      </c>
      <c r="B107" s="5" t="s">
        <v>9</v>
      </c>
      <c r="C107" s="5">
        <v>12</v>
      </c>
      <c r="D107" s="42">
        <v>60</v>
      </c>
      <c r="E107" s="96">
        <v>45267</v>
      </c>
      <c r="F107" s="82" t="s">
        <v>104</v>
      </c>
      <c r="G107" s="82" t="s">
        <v>297</v>
      </c>
      <c r="H107" s="73">
        <v>104120</v>
      </c>
      <c r="I107" s="59" t="s">
        <v>270</v>
      </c>
      <c r="J107" s="44"/>
      <c r="O107" s="233">
        <v>76028.3</v>
      </c>
    </row>
    <row r="108" spans="1:15" x14ac:dyDescent="0.25">
      <c r="A108" s="23">
        <v>11</v>
      </c>
      <c r="B108" s="5" t="s">
        <v>9</v>
      </c>
      <c r="C108" s="5">
        <v>12</v>
      </c>
      <c r="D108" s="42">
        <v>48</v>
      </c>
      <c r="E108" s="99">
        <v>45272</v>
      </c>
      <c r="F108" s="83" t="s">
        <v>250</v>
      </c>
      <c r="G108" s="83" t="s">
        <v>106</v>
      </c>
      <c r="H108" s="75">
        <v>526890.75</v>
      </c>
      <c r="I108" s="57"/>
      <c r="J108" s="44"/>
      <c r="O108" s="233">
        <v>255225.08</v>
      </c>
    </row>
    <row r="109" spans="1:15" x14ac:dyDescent="0.25">
      <c r="A109" s="23">
        <v>1</v>
      </c>
      <c r="B109" s="5" t="s">
        <v>9</v>
      </c>
      <c r="C109" s="5">
        <v>12</v>
      </c>
      <c r="D109" s="42">
        <v>1</v>
      </c>
      <c r="E109" s="96">
        <v>45279</v>
      </c>
      <c r="F109" s="82" t="s">
        <v>251</v>
      </c>
      <c r="G109" s="82" t="s">
        <v>108</v>
      </c>
      <c r="H109" s="73">
        <v>886635</v>
      </c>
      <c r="I109" s="118" t="s">
        <v>273</v>
      </c>
      <c r="J109" s="44"/>
      <c r="N109" s="233">
        <v>3756450.29</v>
      </c>
    </row>
    <row r="110" spans="1:15" x14ac:dyDescent="0.25">
      <c r="A110" s="23">
        <v>2</v>
      </c>
      <c r="B110" s="5" t="s">
        <v>9</v>
      </c>
      <c r="C110" s="5">
        <v>12</v>
      </c>
      <c r="D110" s="42">
        <v>6</v>
      </c>
      <c r="E110" s="96">
        <v>45287</v>
      </c>
      <c r="F110" s="82" t="s">
        <v>306</v>
      </c>
      <c r="G110" s="82" t="s">
        <v>304</v>
      </c>
      <c r="H110" s="73">
        <v>83277</v>
      </c>
      <c r="I110" s="55" t="s">
        <v>270</v>
      </c>
      <c r="J110" s="44"/>
      <c r="K110" s="2"/>
      <c r="O110" s="233">
        <v>1627166.87</v>
      </c>
    </row>
    <row r="111" spans="1:15" x14ac:dyDescent="0.25">
      <c r="A111" s="23">
        <v>16</v>
      </c>
      <c r="B111" s="5" t="s">
        <v>9</v>
      </c>
      <c r="C111" s="5">
        <v>12</v>
      </c>
      <c r="D111" s="42">
        <v>68</v>
      </c>
      <c r="E111" s="96">
        <v>45287</v>
      </c>
      <c r="F111" s="86" t="s">
        <v>212</v>
      </c>
      <c r="G111" s="86" t="s">
        <v>278</v>
      </c>
      <c r="H111" s="73">
        <v>225639.09</v>
      </c>
      <c r="I111" s="59" t="s">
        <v>270</v>
      </c>
      <c r="J111" s="44"/>
      <c r="O111" s="233">
        <v>2460537</v>
      </c>
    </row>
    <row r="112" spans="1:15" x14ac:dyDescent="0.25">
      <c r="A112" s="23">
        <v>17</v>
      </c>
      <c r="B112" s="5" t="s">
        <v>9</v>
      </c>
      <c r="C112" s="5">
        <v>12</v>
      </c>
      <c r="D112" s="42">
        <v>72</v>
      </c>
      <c r="E112" s="96">
        <v>45287</v>
      </c>
      <c r="F112" s="86" t="s">
        <v>213</v>
      </c>
      <c r="G112" s="86" t="s">
        <v>279</v>
      </c>
      <c r="H112" s="73">
        <v>217861</v>
      </c>
      <c r="I112" s="62" t="s">
        <v>270</v>
      </c>
      <c r="J112" s="44"/>
      <c r="K112" s="2"/>
      <c r="O112" s="233">
        <v>1813230</v>
      </c>
    </row>
    <row r="113" spans="1:15" x14ac:dyDescent="0.25">
      <c r="A113" s="23">
        <v>15</v>
      </c>
      <c r="B113" s="5" t="s">
        <v>9</v>
      </c>
      <c r="C113" s="5">
        <v>12</v>
      </c>
      <c r="D113" s="42">
        <v>64</v>
      </c>
      <c r="E113" s="96">
        <v>45289</v>
      </c>
      <c r="F113" s="86" t="s">
        <v>214</v>
      </c>
      <c r="G113" s="86" t="s">
        <v>280</v>
      </c>
      <c r="H113" s="73">
        <v>90744.28</v>
      </c>
      <c r="I113" s="59" t="s">
        <v>270</v>
      </c>
      <c r="J113" s="44"/>
      <c r="O113" s="233">
        <v>1906560</v>
      </c>
    </row>
    <row r="114" spans="1:15" ht="15.75" thickBot="1" x14ac:dyDescent="0.3">
      <c r="A114" s="29">
        <v>18</v>
      </c>
      <c r="B114" s="30" t="s">
        <v>9</v>
      </c>
      <c r="C114" s="30">
        <v>12</v>
      </c>
      <c r="D114" s="93">
        <v>76</v>
      </c>
      <c r="E114" s="97">
        <v>45289</v>
      </c>
      <c r="F114" s="199" t="s">
        <v>215</v>
      </c>
      <c r="G114" s="199" t="s">
        <v>281</v>
      </c>
      <c r="H114" s="74">
        <v>76028.3</v>
      </c>
      <c r="I114" s="66" t="s">
        <v>270</v>
      </c>
      <c r="J114" s="44"/>
      <c r="O114" s="233">
        <v>2008912.5</v>
      </c>
    </row>
    <row r="115" spans="1:15" ht="15.75" thickBot="1" x14ac:dyDescent="0.3">
      <c r="A115" s="132"/>
      <c r="B115" s="133"/>
      <c r="C115" s="133"/>
      <c r="D115" s="134"/>
      <c r="E115" s="127">
        <v>44985</v>
      </c>
      <c r="F115" s="212" t="s">
        <v>199</v>
      </c>
      <c r="G115" s="212" t="s">
        <v>254</v>
      </c>
      <c r="H115" s="147">
        <v>1627166.87</v>
      </c>
      <c r="I115" s="106" t="s">
        <v>270</v>
      </c>
      <c r="J115" s="44"/>
      <c r="O115" s="233">
        <v>1573087.5</v>
      </c>
    </row>
    <row r="116" spans="1:15" ht="15.75" thickBot="1" x14ac:dyDescent="0.3">
      <c r="A116" s="151"/>
      <c r="B116" s="114"/>
      <c r="C116" s="114"/>
      <c r="D116" s="115"/>
      <c r="E116" s="116">
        <v>45016</v>
      </c>
      <c r="F116" s="206" t="s">
        <v>200</v>
      </c>
      <c r="G116" s="206" t="s">
        <v>255</v>
      </c>
      <c r="H116" s="155">
        <v>2460537</v>
      </c>
      <c r="I116" s="55" t="s">
        <v>270</v>
      </c>
      <c r="J116" s="44"/>
    </row>
    <row r="117" spans="1:15" ht="15.75" thickBot="1" x14ac:dyDescent="0.3">
      <c r="A117" s="132"/>
      <c r="B117" s="133"/>
      <c r="C117" s="133"/>
      <c r="D117" s="134"/>
      <c r="E117" s="127">
        <v>45046</v>
      </c>
      <c r="F117" s="212" t="s">
        <v>201</v>
      </c>
      <c r="G117" s="212" t="s">
        <v>256</v>
      </c>
      <c r="H117" s="147">
        <v>1813230</v>
      </c>
      <c r="I117" s="106" t="s">
        <v>270</v>
      </c>
      <c r="J117" s="44"/>
    </row>
    <row r="118" spans="1:15" ht="15.75" thickBot="1" x14ac:dyDescent="0.3">
      <c r="A118" s="151"/>
      <c r="B118" s="114"/>
      <c r="C118" s="114"/>
      <c r="D118" s="115"/>
      <c r="E118" s="116">
        <v>45077</v>
      </c>
      <c r="F118" s="206" t="s">
        <v>202</v>
      </c>
      <c r="G118" s="206" t="s">
        <v>257</v>
      </c>
      <c r="H118" s="155">
        <v>1906560</v>
      </c>
      <c r="I118" s="55" t="s">
        <v>270</v>
      </c>
      <c r="J118" s="44"/>
      <c r="O118" s="2"/>
    </row>
    <row r="119" spans="1:15" ht="15.75" thickBot="1" x14ac:dyDescent="0.3">
      <c r="A119" s="132"/>
      <c r="B119" s="133"/>
      <c r="C119" s="133"/>
      <c r="D119" s="134"/>
      <c r="E119" s="127">
        <v>45107</v>
      </c>
      <c r="F119" s="212" t="s">
        <v>203</v>
      </c>
      <c r="G119" s="212" t="s">
        <v>258</v>
      </c>
      <c r="H119" s="147">
        <v>2008912.5</v>
      </c>
      <c r="I119" s="106" t="s">
        <v>270</v>
      </c>
      <c r="J119" s="44"/>
      <c r="O119" s="2"/>
    </row>
    <row r="120" spans="1:15" ht="15.75" thickBot="1" x14ac:dyDescent="0.3">
      <c r="A120" s="151"/>
      <c r="B120" s="114"/>
      <c r="C120" s="114"/>
      <c r="D120" s="115"/>
      <c r="E120" s="116">
        <v>45138</v>
      </c>
      <c r="F120" s="206" t="s">
        <v>204</v>
      </c>
      <c r="G120" s="206" t="s">
        <v>259</v>
      </c>
      <c r="H120" s="155">
        <v>1573087.5</v>
      </c>
      <c r="I120" s="55" t="s">
        <v>270</v>
      </c>
      <c r="J120" s="44"/>
      <c r="O120" s="2"/>
    </row>
    <row r="121" spans="1:15" ht="15.75" thickBot="1" x14ac:dyDescent="0.3">
      <c r="A121" s="132"/>
      <c r="B121" s="133"/>
      <c r="C121" s="133"/>
      <c r="D121" s="134"/>
      <c r="E121" s="127">
        <v>45291</v>
      </c>
      <c r="F121" s="140" t="s">
        <v>354</v>
      </c>
      <c r="G121" s="140" t="s">
        <v>328</v>
      </c>
      <c r="H121" s="147">
        <v>1632450.68</v>
      </c>
      <c r="I121" s="106" t="s">
        <v>270</v>
      </c>
      <c r="J121" s="44"/>
      <c r="O121" s="2"/>
    </row>
    <row r="122" spans="1:15" ht="15.75" thickBot="1" x14ac:dyDescent="0.3">
      <c r="A122" s="151"/>
      <c r="B122" s="114"/>
      <c r="C122" s="114"/>
      <c r="D122" s="115"/>
      <c r="E122" s="116">
        <v>45291</v>
      </c>
      <c r="F122" s="117" t="s">
        <v>205</v>
      </c>
      <c r="G122" s="117" t="s">
        <v>206</v>
      </c>
      <c r="H122" s="155">
        <v>255225.08</v>
      </c>
      <c r="I122" s="55" t="s">
        <v>270</v>
      </c>
      <c r="J122" s="44"/>
      <c r="O122" s="2"/>
    </row>
    <row r="123" spans="1:15" ht="15.75" thickBot="1" x14ac:dyDescent="0.3">
      <c r="A123" s="132"/>
      <c r="B123" s="133"/>
      <c r="C123" s="133"/>
      <c r="D123" s="134"/>
      <c r="E123" s="127">
        <v>44958</v>
      </c>
      <c r="F123" s="80" t="s">
        <v>252</v>
      </c>
      <c r="G123" s="80" t="s">
        <v>207</v>
      </c>
      <c r="H123" s="147">
        <v>27360</v>
      </c>
      <c r="I123" s="106" t="s">
        <v>270</v>
      </c>
      <c r="J123" s="44"/>
    </row>
    <row r="124" spans="1:15" ht="15.75" thickBot="1" x14ac:dyDescent="0.3">
      <c r="A124" s="151"/>
      <c r="B124" s="114"/>
      <c r="C124" s="114"/>
      <c r="D124" s="115"/>
      <c r="E124" s="116">
        <v>45076</v>
      </c>
      <c r="F124" s="117" t="s">
        <v>208</v>
      </c>
      <c r="G124" s="117" t="s">
        <v>274</v>
      </c>
      <c r="H124" s="155">
        <v>14936.55</v>
      </c>
      <c r="I124" s="55" t="s">
        <v>270</v>
      </c>
      <c r="J124" s="44"/>
    </row>
    <row r="125" spans="1:15" ht="15.75" thickBot="1" x14ac:dyDescent="0.3">
      <c r="A125" s="132"/>
      <c r="B125" s="133"/>
      <c r="C125" s="133"/>
      <c r="D125" s="134"/>
      <c r="E125" s="127">
        <v>45249</v>
      </c>
      <c r="F125" s="80" t="s">
        <v>228</v>
      </c>
      <c r="G125" s="80" t="s">
        <v>229</v>
      </c>
      <c r="H125" s="147">
        <v>132224.4</v>
      </c>
      <c r="I125" s="106" t="s">
        <v>270</v>
      </c>
      <c r="J125" s="44"/>
      <c r="K125" s="246" t="s">
        <v>268</v>
      </c>
      <c r="L125" s="247"/>
      <c r="M125" s="191" t="s">
        <v>298</v>
      </c>
    </row>
    <row r="126" spans="1:15" ht="16.5" thickBot="1" x14ac:dyDescent="0.3">
      <c r="A126" s="151"/>
      <c r="B126" s="114"/>
      <c r="C126" s="114"/>
      <c r="D126" s="115"/>
      <c r="E126" s="116">
        <v>45270</v>
      </c>
      <c r="F126" s="117" t="s">
        <v>230</v>
      </c>
      <c r="G126" s="117" t="s">
        <v>229</v>
      </c>
      <c r="H126" s="155">
        <v>139522.5</v>
      </c>
      <c r="I126" s="55" t="s">
        <v>270</v>
      </c>
      <c r="J126" s="44"/>
      <c r="K126" s="178"/>
      <c r="L126" s="85"/>
      <c r="M126" s="192">
        <f>H10</f>
        <v>11772455.83</v>
      </c>
    </row>
    <row r="127" spans="1:15" ht="16.5" thickBot="1" x14ac:dyDescent="0.3">
      <c r="A127" s="132"/>
      <c r="B127" s="133"/>
      <c r="C127" s="133"/>
      <c r="D127" s="134"/>
      <c r="E127" s="127">
        <v>45230</v>
      </c>
      <c r="F127" s="235" t="s">
        <v>228</v>
      </c>
      <c r="G127" s="235" t="s">
        <v>236</v>
      </c>
      <c r="H127" s="147">
        <v>177837.03</v>
      </c>
      <c r="I127" s="106" t="s">
        <v>270</v>
      </c>
      <c r="J127" s="185"/>
      <c r="K127" s="179"/>
      <c r="L127" s="105" t="s">
        <v>300</v>
      </c>
      <c r="M127" s="120" t="s">
        <v>381</v>
      </c>
    </row>
    <row r="128" spans="1:15" ht="16.5" thickBot="1" x14ac:dyDescent="0.3">
      <c r="A128" s="132"/>
      <c r="B128" s="133"/>
      <c r="C128" s="133"/>
      <c r="D128" s="134"/>
      <c r="E128" s="127">
        <v>45291</v>
      </c>
      <c r="F128" s="80" t="s">
        <v>230</v>
      </c>
      <c r="G128" s="80" t="s">
        <v>236</v>
      </c>
      <c r="H128" s="147">
        <v>265377.78000000003</v>
      </c>
      <c r="I128" s="106" t="s">
        <v>270</v>
      </c>
      <c r="J128" s="228"/>
      <c r="K128" s="180"/>
      <c r="L128" s="104">
        <f>M126+M132</f>
        <v>78606530.969999999</v>
      </c>
      <c r="M128" s="121">
        <v>64852860</v>
      </c>
    </row>
    <row r="129" spans="1:16" ht="16.5" thickBot="1" x14ac:dyDescent="0.3">
      <c r="A129" s="132"/>
      <c r="B129" s="133"/>
      <c r="C129" s="133"/>
      <c r="D129" s="134"/>
      <c r="E129" s="127">
        <v>45141</v>
      </c>
      <c r="F129" s="80" t="s">
        <v>296</v>
      </c>
      <c r="G129" s="80" t="s">
        <v>297</v>
      </c>
      <c r="H129" s="147">
        <v>278065</v>
      </c>
      <c r="I129" s="106" t="s">
        <v>273</v>
      </c>
      <c r="J129" s="186" t="s">
        <v>349</v>
      </c>
      <c r="K129" s="181"/>
      <c r="L129" s="91"/>
      <c r="M129" s="120"/>
    </row>
    <row r="130" spans="1:16" ht="16.5" thickBot="1" x14ac:dyDescent="0.3">
      <c r="A130" s="225"/>
      <c r="B130" s="226"/>
      <c r="C130" s="226"/>
      <c r="D130" s="227"/>
      <c r="E130" s="222">
        <v>45187</v>
      </c>
      <c r="F130" s="223" t="s">
        <v>301</v>
      </c>
      <c r="G130" s="223" t="s">
        <v>297</v>
      </c>
      <c r="H130" s="224">
        <v>159030</v>
      </c>
      <c r="I130" s="107" t="s">
        <v>270</v>
      </c>
      <c r="J130" s="126" t="s">
        <v>349</v>
      </c>
      <c r="K130" s="182"/>
      <c r="L130" s="44"/>
      <c r="M130" s="120"/>
    </row>
    <row r="131" spans="1:16" ht="16.5" thickBot="1" x14ac:dyDescent="0.3">
      <c r="A131" s="113"/>
      <c r="B131" s="114"/>
      <c r="C131" s="114"/>
      <c r="D131" s="115"/>
      <c r="E131" s="116"/>
      <c r="F131" s="117"/>
      <c r="G131" s="117"/>
      <c r="H131" s="37"/>
      <c r="I131" s="108"/>
      <c r="J131" s="193"/>
      <c r="K131" s="182"/>
      <c r="L131" s="44"/>
      <c r="M131" s="120"/>
    </row>
    <row r="132" spans="1:16" ht="16.5" thickBot="1" x14ac:dyDescent="0.3">
      <c r="A132" s="64"/>
      <c r="B132" s="51"/>
      <c r="C132" s="51"/>
      <c r="D132" s="68"/>
      <c r="E132" s="127"/>
      <c r="F132" s="80"/>
      <c r="G132" s="80"/>
      <c r="H132" s="128"/>
      <c r="I132" s="58"/>
      <c r="J132" s="124"/>
      <c r="K132" s="183"/>
      <c r="L132" s="122" t="s">
        <v>299</v>
      </c>
      <c r="M132" s="123">
        <v>66834075.140000001</v>
      </c>
    </row>
    <row r="133" spans="1:16" ht="16.5" thickBot="1" x14ac:dyDescent="0.3">
      <c r="A133" s="45"/>
      <c r="B133" s="46"/>
      <c r="C133" s="47"/>
      <c r="D133" s="45"/>
      <c r="E133" s="102"/>
      <c r="F133" s="46"/>
      <c r="G133" s="81" t="s">
        <v>225</v>
      </c>
      <c r="H133" s="78">
        <f>SUM(H11:H132)</f>
        <v>52843150.740000002</v>
      </c>
      <c r="I133" s="28">
        <v>2023</v>
      </c>
      <c r="J133" s="111"/>
      <c r="K133" s="184"/>
      <c r="L133" s="119">
        <f>L128-H10-H133</f>
        <v>13990924.399999999</v>
      </c>
      <c r="M133" s="32"/>
      <c r="N133" s="32"/>
      <c r="P133" s="32"/>
    </row>
    <row r="134" spans="1:16" ht="16.5" thickBot="1" x14ac:dyDescent="0.3">
      <c r="A134" s="208"/>
      <c r="B134" s="209"/>
      <c r="C134" s="209"/>
      <c r="D134" s="210"/>
      <c r="E134" s="127">
        <v>45319</v>
      </c>
      <c r="F134" s="80" t="s">
        <v>231</v>
      </c>
      <c r="G134" s="80" t="s">
        <v>229</v>
      </c>
      <c r="H134" s="147">
        <v>169604.75</v>
      </c>
      <c r="I134" s="160" t="s">
        <v>270</v>
      </c>
      <c r="J134" s="44"/>
      <c r="K134" s="33"/>
      <c r="L134" s="34"/>
      <c r="M134" s="32"/>
      <c r="N134" s="32"/>
      <c r="P134" s="32"/>
    </row>
    <row r="135" spans="1:16" ht="16.5" thickBot="1" x14ac:dyDescent="0.3">
      <c r="A135" s="219"/>
      <c r="B135" s="220"/>
      <c r="C135" s="220"/>
      <c r="D135" s="221"/>
      <c r="E135" s="222">
        <v>45351</v>
      </c>
      <c r="F135" s="223" t="s">
        <v>234</v>
      </c>
      <c r="G135" s="223" t="s">
        <v>238</v>
      </c>
      <c r="H135" s="224">
        <v>170578.47</v>
      </c>
      <c r="I135" s="218" t="s">
        <v>270</v>
      </c>
      <c r="J135" s="44"/>
      <c r="K135" s="33"/>
      <c r="L135" s="34"/>
      <c r="M135" s="32"/>
      <c r="N135" s="32"/>
      <c r="P135" s="32"/>
    </row>
    <row r="136" spans="1:16" ht="16.5" thickBot="1" x14ac:dyDescent="0.3">
      <c r="A136" s="208"/>
      <c r="B136" s="209"/>
      <c r="C136" s="209"/>
      <c r="D136" s="210"/>
      <c r="E136" s="127">
        <v>45321</v>
      </c>
      <c r="F136" s="80" t="s">
        <v>233</v>
      </c>
      <c r="G136" s="80" t="s">
        <v>238</v>
      </c>
      <c r="H136" s="147">
        <v>191872.45</v>
      </c>
      <c r="I136" s="160" t="s">
        <v>270</v>
      </c>
      <c r="J136" s="44"/>
      <c r="K136" s="33"/>
      <c r="L136" s="34"/>
      <c r="M136" s="32"/>
      <c r="N136" s="32"/>
      <c r="P136" s="32"/>
    </row>
    <row r="137" spans="1:16" ht="16.5" thickBot="1" x14ac:dyDescent="0.3">
      <c r="A137" s="203"/>
      <c r="B137" s="203"/>
      <c r="C137" s="203"/>
      <c r="D137" s="204"/>
      <c r="E137" s="116">
        <v>45433</v>
      </c>
      <c r="F137" s="200" t="s">
        <v>222</v>
      </c>
      <c r="G137" s="200" t="s">
        <v>282</v>
      </c>
      <c r="H137" s="155">
        <v>19865.05</v>
      </c>
      <c r="I137" s="218" t="s">
        <v>270</v>
      </c>
      <c r="J137" s="44"/>
      <c r="K137" s="33"/>
      <c r="L137" s="34"/>
      <c r="M137" s="32"/>
      <c r="N137" s="32"/>
      <c r="P137" s="32"/>
    </row>
    <row r="138" spans="1:16" ht="16.5" thickBot="1" x14ac:dyDescent="0.3">
      <c r="A138" s="208"/>
      <c r="B138" s="209"/>
      <c r="C138" s="209"/>
      <c r="D138" s="210"/>
      <c r="E138" s="211">
        <v>45411</v>
      </c>
      <c r="F138" s="216" t="s">
        <v>231</v>
      </c>
      <c r="G138" s="217" t="s">
        <v>238</v>
      </c>
      <c r="H138" s="213">
        <v>85447.61</v>
      </c>
      <c r="I138" s="160" t="s">
        <v>270</v>
      </c>
      <c r="J138" s="44"/>
      <c r="K138" s="245"/>
      <c r="L138" s="245"/>
      <c r="M138" s="245"/>
      <c r="N138" s="245"/>
      <c r="O138" s="245"/>
      <c r="P138" s="245"/>
    </row>
    <row r="139" spans="1:16" ht="16.5" thickBot="1" x14ac:dyDescent="0.3">
      <c r="A139" s="202"/>
      <c r="B139" s="203"/>
      <c r="C139" s="203"/>
      <c r="D139" s="204"/>
      <c r="E139" s="205">
        <v>45453</v>
      </c>
      <c r="F139" s="214" t="s">
        <v>237</v>
      </c>
      <c r="G139" s="215" t="s">
        <v>238</v>
      </c>
      <c r="H139" s="207">
        <v>42871.13</v>
      </c>
      <c r="I139" s="54" t="s">
        <v>270</v>
      </c>
      <c r="J139" s="44"/>
      <c r="K139" s="35"/>
      <c r="L139" s="35"/>
      <c r="M139" s="36"/>
      <c r="N139" s="36"/>
      <c r="P139" s="36"/>
    </row>
    <row r="140" spans="1:16" ht="16.5" thickBot="1" x14ac:dyDescent="0.3">
      <c r="A140" s="208"/>
      <c r="B140" s="209"/>
      <c r="C140" s="209"/>
      <c r="D140" s="210"/>
      <c r="E140" s="211">
        <v>45301</v>
      </c>
      <c r="F140" s="216" t="s">
        <v>233</v>
      </c>
      <c r="G140" s="217" t="s">
        <v>232</v>
      </c>
      <c r="H140" s="213">
        <v>61236</v>
      </c>
      <c r="I140" s="160" t="s">
        <v>270</v>
      </c>
      <c r="J140" s="44"/>
      <c r="K140" s="34"/>
      <c r="L140" s="34"/>
      <c r="M140" s="37"/>
      <c r="N140" s="36"/>
      <c r="P140" s="37"/>
    </row>
    <row r="141" spans="1:16" ht="16.5" thickBot="1" x14ac:dyDescent="0.3">
      <c r="A141" s="202"/>
      <c r="B141" s="203"/>
      <c r="C141" s="203"/>
      <c r="D141" s="204"/>
      <c r="E141" s="205">
        <v>45301</v>
      </c>
      <c r="F141" s="214" t="s">
        <v>234</v>
      </c>
      <c r="G141" s="215" t="s">
        <v>232</v>
      </c>
      <c r="H141" s="207">
        <v>30618</v>
      </c>
      <c r="I141" s="54" t="s">
        <v>270</v>
      </c>
      <c r="J141" s="187"/>
      <c r="K141" s="35"/>
      <c r="L141" s="34"/>
      <c r="M141" s="36"/>
      <c r="N141" s="38"/>
      <c r="P141" s="36"/>
    </row>
    <row r="142" spans="1:16" ht="16.5" thickBot="1" x14ac:dyDescent="0.3">
      <c r="A142" s="208"/>
      <c r="B142" s="209"/>
      <c r="C142" s="209"/>
      <c r="D142" s="210"/>
      <c r="E142" s="211">
        <v>45397</v>
      </c>
      <c r="F142" s="216" t="s">
        <v>231</v>
      </c>
      <c r="G142" s="217" t="s">
        <v>232</v>
      </c>
      <c r="H142" s="213">
        <v>51786</v>
      </c>
      <c r="I142" s="160" t="s">
        <v>270</v>
      </c>
      <c r="J142" s="188"/>
      <c r="K142" s="34"/>
      <c r="L142" s="34"/>
      <c r="M142" s="37"/>
      <c r="N142" s="38"/>
      <c r="P142" s="32"/>
    </row>
    <row r="143" spans="1:16" ht="16.5" thickBot="1" x14ac:dyDescent="0.3">
      <c r="A143" s="202"/>
      <c r="B143" s="203"/>
      <c r="C143" s="203"/>
      <c r="D143" s="204"/>
      <c r="E143" s="205">
        <v>45315</v>
      </c>
      <c r="F143" s="206" t="s">
        <v>234</v>
      </c>
      <c r="G143" s="206" t="s">
        <v>255</v>
      </c>
      <c r="H143" s="207">
        <v>278455.82</v>
      </c>
      <c r="I143" s="54" t="s">
        <v>270</v>
      </c>
      <c r="J143" s="187"/>
      <c r="K143" s="34"/>
      <c r="L143" s="34"/>
      <c r="M143" s="37"/>
      <c r="N143" s="39"/>
      <c r="P143" s="40"/>
    </row>
    <row r="144" spans="1:16" ht="16.5" thickBot="1" x14ac:dyDescent="0.3">
      <c r="A144" s="208"/>
      <c r="B144" s="209"/>
      <c r="C144" s="209"/>
      <c r="D144" s="210"/>
      <c r="E144" s="211">
        <v>45351</v>
      </c>
      <c r="F144" s="212" t="s">
        <v>231</v>
      </c>
      <c r="G144" s="212" t="s">
        <v>256</v>
      </c>
      <c r="H144" s="213">
        <v>281643.12</v>
      </c>
      <c r="I144" s="160" t="s">
        <v>270</v>
      </c>
      <c r="J144" s="187"/>
      <c r="K144" s="33"/>
      <c r="L144" s="33"/>
      <c r="M144" s="32"/>
      <c r="N144" s="32"/>
      <c r="P144" s="37"/>
    </row>
    <row r="145" spans="1:16" ht="16.5" thickBot="1" x14ac:dyDescent="0.3">
      <c r="A145" s="202"/>
      <c r="B145" s="203"/>
      <c r="C145" s="203"/>
      <c r="D145" s="204"/>
      <c r="E145" s="205">
        <v>45400</v>
      </c>
      <c r="F145" s="206" t="s">
        <v>237</v>
      </c>
      <c r="G145" s="206" t="s">
        <v>257</v>
      </c>
      <c r="H145" s="207">
        <v>373594.32</v>
      </c>
      <c r="I145" s="54" t="s">
        <v>270</v>
      </c>
      <c r="J145" s="187"/>
      <c r="K145" s="33"/>
      <c r="L145" s="33"/>
      <c r="M145" s="32"/>
      <c r="N145" s="32"/>
      <c r="P145" s="37"/>
    </row>
    <row r="146" spans="1:16" ht="16.5" thickBot="1" x14ac:dyDescent="0.3">
      <c r="A146" s="132"/>
      <c r="B146" s="133"/>
      <c r="C146" s="133"/>
      <c r="D146" s="134"/>
      <c r="E146" s="127">
        <v>45322</v>
      </c>
      <c r="F146" s="140" t="s">
        <v>353</v>
      </c>
      <c r="G146" s="140" t="s">
        <v>324</v>
      </c>
      <c r="H146" s="147">
        <v>1491051.52</v>
      </c>
      <c r="I146" s="160" t="s">
        <v>270</v>
      </c>
      <c r="J146" s="44"/>
      <c r="K146" s="32"/>
      <c r="L146" s="32"/>
      <c r="M146" s="32"/>
      <c r="N146" s="32"/>
      <c r="P146" s="32"/>
    </row>
    <row r="147" spans="1:16" ht="16.5" thickBot="1" x14ac:dyDescent="0.3">
      <c r="A147" s="151"/>
      <c r="B147" s="114"/>
      <c r="C147" s="114"/>
      <c r="D147" s="115"/>
      <c r="E147" s="116">
        <v>45351</v>
      </c>
      <c r="F147" s="154" t="s">
        <v>352</v>
      </c>
      <c r="G147" s="154" t="s">
        <v>325</v>
      </c>
      <c r="H147" s="155">
        <v>503399.29</v>
      </c>
      <c r="I147" s="54" t="s">
        <v>270</v>
      </c>
      <c r="J147" s="44"/>
      <c r="K147" s="32"/>
      <c r="L147" s="32"/>
      <c r="M147" s="32"/>
      <c r="N147" s="32"/>
      <c r="P147" s="32"/>
    </row>
    <row r="148" spans="1:16" ht="16.5" thickBot="1" x14ac:dyDescent="0.3">
      <c r="A148" s="132"/>
      <c r="B148" s="133"/>
      <c r="C148" s="133"/>
      <c r="D148" s="134"/>
      <c r="E148" s="127">
        <v>45382</v>
      </c>
      <c r="F148" s="140" t="s">
        <v>350</v>
      </c>
      <c r="G148" s="140" t="s">
        <v>326</v>
      </c>
      <c r="H148" s="147">
        <v>343259.64</v>
      </c>
      <c r="I148" s="160" t="s">
        <v>270</v>
      </c>
      <c r="J148" s="44"/>
      <c r="K148" s="32"/>
      <c r="L148" s="32"/>
      <c r="M148" s="32"/>
      <c r="N148" s="32"/>
      <c r="P148" s="32"/>
    </row>
    <row r="149" spans="1:16" ht="16.5" thickBot="1" x14ac:dyDescent="0.3">
      <c r="A149" s="132"/>
      <c r="B149" s="133"/>
      <c r="C149" s="133"/>
      <c r="D149" s="134"/>
      <c r="E149" s="127">
        <v>45412</v>
      </c>
      <c r="F149" s="140" t="s">
        <v>351</v>
      </c>
      <c r="G149" s="140" t="s">
        <v>327</v>
      </c>
      <c r="H149" s="147">
        <v>683976.96</v>
      </c>
      <c r="I149" s="160" t="s">
        <v>270</v>
      </c>
      <c r="J149" s="44"/>
      <c r="K149" s="36"/>
      <c r="L149" s="40"/>
      <c r="M149" s="32"/>
      <c r="N149" s="32"/>
      <c r="P149" s="32"/>
    </row>
    <row r="150" spans="1:16" ht="16.5" thickBot="1" x14ac:dyDescent="0.3">
      <c r="A150" s="151"/>
      <c r="B150" s="114"/>
      <c r="C150" s="114"/>
      <c r="D150" s="115"/>
      <c r="E150" s="116">
        <v>45361</v>
      </c>
      <c r="F150" s="117" t="s">
        <v>233</v>
      </c>
      <c r="G150" s="117" t="s">
        <v>235</v>
      </c>
      <c r="H150" s="155">
        <v>195822.9</v>
      </c>
      <c r="I150" s="54" t="s">
        <v>270</v>
      </c>
      <c r="J150" s="44"/>
      <c r="K150" s="36"/>
      <c r="L150" s="37"/>
      <c r="M150" s="32"/>
      <c r="N150" s="32"/>
      <c r="P150" s="32"/>
    </row>
    <row r="151" spans="1:16" ht="16.5" thickBot="1" x14ac:dyDescent="0.3">
      <c r="A151" s="132"/>
      <c r="B151" s="133"/>
      <c r="C151" s="133"/>
      <c r="D151" s="134"/>
      <c r="E151" s="127">
        <v>45322</v>
      </c>
      <c r="F151" s="201" t="s">
        <v>216</v>
      </c>
      <c r="G151" s="201" t="s">
        <v>283</v>
      </c>
      <c r="H151" s="147">
        <v>211234.99</v>
      </c>
      <c r="I151" s="160" t="s">
        <v>270</v>
      </c>
      <c r="J151" s="44"/>
      <c r="K151" s="41"/>
      <c r="L151" s="37"/>
      <c r="M151" s="32"/>
      <c r="N151" s="32"/>
      <c r="P151" s="32"/>
    </row>
    <row r="152" spans="1:16" ht="16.5" thickBot="1" x14ac:dyDescent="0.3">
      <c r="A152" s="151"/>
      <c r="B152" s="114"/>
      <c r="C152" s="114"/>
      <c r="D152" s="115"/>
      <c r="E152" s="116">
        <v>45322</v>
      </c>
      <c r="F152" s="200" t="s">
        <v>217</v>
      </c>
      <c r="G152" s="200" t="s">
        <v>284</v>
      </c>
      <c r="H152" s="155">
        <v>224779.28</v>
      </c>
      <c r="I152" s="54" t="s">
        <v>270</v>
      </c>
      <c r="J152" s="44"/>
      <c r="K152" s="32"/>
      <c r="L152" s="32"/>
      <c r="M152" s="32"/>
      <c r="N152" s="32"/>
      <c r="P152" s="32"/>
    </row>
    <row r="153" spans="1:16" ht="16.5" thickBot="1" x14ac:dyDescent="0.3">
      <c r="A153" s="132"/>
      <c r="B153" s="133"/>
      <c r="C153" s="133"/>
      <c r="D153" s="134"/>
      <c r="E153" s="127">
        <v>45370</v>
      </c>
      <c r="F153" s="201" t="s">
        <v>218</v>
      </c>
      <c r="G153" s="201" t="s">
        <v>285</v>
      </c>
      <c r="H153" s="147">
        <v>238950.78</v>
      </c>
      <c r="I153" s="160" t="s">
        <v>270</v>
      </c>
      <c r="J153" s="44"/>
      <c r="K153" s="32"/>
      <c r="L153" s="32"/>
      <c r="M153" s="32"/>
      <c r="N153" s="32"/>
      <c r="P153" s="32"/>
    </row>
    <row r="154" spans="1:16" ht="16.5" thickBot="1" x14ac:dyDescent="0.3">
      <c r="A154" s="151"/>
      <c r="B154" s="114"/>
      <c r="C154" s="114"/>
      <c r="D154" s="115"/>
      <c r="E154" s="116">
        <v>45370</v>
      </c>
      <c r="F154" s="200" t="s">
        <v>219</v>
      </c>
      <c r="G154" s="200" t="s">
        <v>286</v>
      </c>
      <c r="H154" s="155">
        <v>304438.02</v>
      </c>
      <c r="I154" s="54" t="s">
        <v>270</v>
      </c>
      <c r="J154" s="44"/>
    </row>
    <row r="155" spans="1:16" ht="16.5" thickBot="1" x14ac:dyDescent="0.3">
      <c r="A155" s="132"/>
      <c r="B155" s="133"/>
      <c r="C155" s="133"/>
      <c r="D155" s="134"/>
      <c r="E155" s="127">
        <v>45378</v>
      </c>
      <c r="F155" s="201" t="s">
        <v>220</v>
      </c>
      <c r="G155" s="201" t="s">
        <v>287</v>
      </c>
      <c r="H155" s="147">
        <v>241214</v>
      </c>
      <c r="I155" s="160" t="s">
        <v>270</v>
      </c>
      <c r="J155" s="44"/>
    </row>
    <row r="156" spans="1:16" ht="16.5" thickBot="1" x14ac:dyDescent="0.3">
      <c r="A156" s="151"/>
      <c r="B156" s="114"/>
      <c r="C156" s="114"/>
      <c r="D156" s="115"/>
      <c r="E156" s="116">
        <v>45412</v>
      </c>
      <c r="F156" s="200" t="s">
        <v>221</v>
      </c>
      <c r="G156" s="200" t="s">
        <v>288</v>
      </c>
      <c r="H156" s="155">
        <v>72658.64</v>
      </c>
      <c r="I156" s="54" t="s">
        <v>270</v>
      </c>
      <c r="J156" s="44"/>
    </row>
    <row r="157" spans="1:16" ht="16.5" thickBot="1" x14ac:dyDescent="0.3">
      <c r="A157" s="132"/>
      <c r="B157" s="133"/>
      <c r="C157" s="133"/>
      <c r="D157" s="134"/>
      <c r="E157" s="127">
        <v>45487</v>
      </c>
      <c r="F157" s="201" t="s">
        <v>223</v>
      </c>
      <c r="G157" s="201" t="s">
        <v>289</v>
      </c>
      <c r="H157" s="147">
        <v>1453.72</v>
      </c>
      <c r="I157" s="160" t="s">
        <v>270</v>
      </c>
      <c r="J157" s="44"/>
    </row>
    <row r="158" spans="1:16" ht="16.5" thickBot="1" x14ac:dyDescent="0.3">
      <c r="A158" s="151"/>
      <c r="B158" s="114"/>
      <c r="C158" s="114"/>
      <c r="D158" s="115"/>
      <c r="E158" s="116">
        <v>45487</v>
      </c>
      <c r="F158" s="200" t="s">
        <v>224</v>
      </c>
      <c r="G158" s="200" t="s">
        <v>290</v>
      </c>
      <c r="H158" s="155">
        <v>7113.59</v>
      </c>
      <c r="I158" s="54" t="s">
        <v>270</v>
      </c>
      <c r="J158" s="44"/>
    </row>
    <row r="159" spans="1:16" ht="16.5" thickBot="1" x14ac:dyDescent="0.3">
      <c r="A159" s="132"/>
      <c r="B159" s="133"/>
      <c r="C159" s="133"/>
      <c r="D159" s="134"/>
      <c r="E159" s="127">
        <v>45451</v>
      </c>
      <c r="F159" s="80" t="s">
        <v>239</v>
      </c>
      <c r="G159" s="80" t="s">
        <v>227</v>
      </c>
      <c r="H159" s="147">
        <v>119811.76</v>
      </c>
      <c r="I159" s="160" t="s">
        <v>270</v>
      </c>
      <c r="J159" s="44"/>
    </row>
    <row r="160" spans="1:16" ht="16.5" thickBot="1" x14ac:dyDescent="0.3">
      <c r="A160" s="151"/>
      <c r="B160" s="114"/>
      <c r="C160" s="114"/>
      <c r="D160" s="115"/>
      <c r="E160" s="161">
        <v>45370</v>
      </c>
      <c r="F160" s="198" t="s">
        <v>231</v>
      </c>
      <c r="G160" s="198" t="s">
        <v>236</v>
      </c>
      <c r="H160" s="195">
        <v>251361</v>
      </c>
      <c r="I160" s="54" t="s">
        <v>270</v>
      </c>
      <c r="J160" s="44"/>
    </row>
    <row r="161" spans="1:10" ht="16.5" thickBot="1" x14ac:dyDescent="0.3">
      <c r="A161" s="132"/>
      <c r="B161" s="133"/>
      <c r="C161" s="133"/>
      <c r="D161" s="134"/>
      <c r="E161" s="157">
        <v>45301</v>
      </c>
      <c r="F161" s="166" t="s">
        <v>262</v>
      </c>
      <c r="G161" s="166" t="s">
        <v>263</v>
      </c>
      <c r="H161" s="159">
        <v>399159.67</v>
      </c>
      <c r="I161" s="160" t="s">
        <v>270</v>
      </c>
      <c r="J161" s="44"/>
    </row>
    <row r="162" spans="1:10" ht="16.5" thickBot="1" x14ac:dyDescent="0.3">
      <c r="A162" s="151"/>
      <c r="B162" s="114"/>
      <c r="C162" s="114"/>
      <c r="D162" s="115"/>
      <c r="E162" s="161">
        <v>45326</v>
      </c>
      <c r="F162" s="198" t="s">
        <v>264</v>
      </c>
      <c r="G162" s="198" t="s">
        <v>263</v>
      </c>
      <c r="H162" s="195">
        <v>159663.92000000001</v>
      </c>
      <c r="I162" s="54" t="s">
        <v>270</v>
      </c>
      <c r="J162" s="44"/>
    </row>
    <row r="163" spans="1:10" ht="16.5" thickBot="1" x14ac:dyDescent="0.3">
      <c r="A163" s="132"/>
      <c r="B163" s="133"/>
      <c r="C163" s="133"/>
      <c r="D163" s="134"/>
      <c r="E163" s="157">
        <v>45348</v>
      </c>
      <c r="F163" s="166" t="s">
        <v>265</v>
      </c>
      <c r="G163" s="166" t="s">
        <v>263</v>
      </c>
      <c r="H163" s="159">
        <v>521142.88</v>
      </c>
      <c r="I163" s="160" t="s">
        <v>270</v>
      </c>
      <c r="J163" s="44"/>
    </row>
    <row r="164" spans="1:10" ht="16.5" thickBot="1" x14ac:dyDescent="0.3">
      <c r="A164" s="151"/>
      <c r="B164" s="114"/>
      <c r="C164" s="114"/>
      <c r="D164" s="115"/>
      <c r="E164" s="161">
        <v>45406</v>
      </c>
      <c r="F164" s="198" t="s">
        <v>266</v>
      </c>
      <c r="G164" s="198" t="s">
        <v>263</v>
      </c>
      <c r="H164" s="195">
        <v>118470.69</v>
      </c>
      <c r="I164" s="54" t="s">
        <v>270</v>
      </c>
      <c r="J164" s="44"/>
    </row>
    <row r="165" spans="1:10" ht="16.5" thickBot="1" x14ac:dyDescent="0.3">
      <c r="A165" s="132"/>
      <c r="B165" s="133"/>
      <c r="C165" s="133"/>
      <c r="D165" s="134"/>
      <c r="E165" s="157">
        <v>45487</v>
      </c>
      <c r="F165" s="166" t="s">
        <v>237</v>
      </c>
      <c r="G165" s="166" t="s">
        <v>236</v>
      </c>
      <c r="H165" s="159">
        <v>60554.25</v>
      </c>
      <c r="I165" s="160" t="s">
        <v>270</v>
      </c>
      <c r="J165" s="44"/>
    </row>
    <row r="166" spans="1:10" ht="16.5" thickBot="1" x14ac:dyDescent="0.3">
      <c r="A166" s="114"/>
      <c r="B166" s="114"/>
      <c r="C166" s="114"/>
      <c r="D166" s="115"/>
      <c r="E166" s="197">
        <v>45298</v>
      </c>
      <c r="F166" s="198" t="s">
        <v>316</v>
      </c>
      <c r="G166" s="198" t="s">
        <v>317</v>
      </c>
      <c r="H166" s="195">
        <v>153556.72</v>
      </c>
      <c r="I166" s="54" t="s">
        <v>270</v>
      </c>
      <c r="J166" s="44"/>
    </row>
    <row r="167" spans="1:10" ht="16.5" thickBot="1" x14ac:dyDescent="0.3">
      <c r="A167" s="132"/>
      <c r="B167" s="133"/>
      <c r="C167" s="133"/>
      <c r="D167" s="134"/>
      <c r="E167" s="157">
        <v>45445</v>
      </c>
      <c r="F167" s="196" t="s">
        <v>320</v>
      </c>
      <c r="G167" s="196" t="s">
        <v>293</v>
      </c>
      <c r="H167" s="159">
        <v>175630.25</v>
      </c>
      <c r="I167" s="160" t="s">
        <v>270</v>
      </c>
      <c r="J167" s="44"/>
    </row>
    <row r="168" spans="1:10" ht="16.5" thickBot="1" x14ac:dyDescent="0.3">
      <c r="A168" s="114"/>
      <c r="B168" s="114"/>
      <c r="C168" s="114"/>
      <c r="D168" s="115"/>
      <c r="E168" s="161">
        <v>45484</v>
      </c>
      <c r="F168" s="194" t="s">
        <v>321</v>
      </c>
      <c r="G168" s="194" t="s">
        <v>293</v>
      </c>
      <c r="H168" s="195">
        <v>283001.01</v>
      </c>
      <c r="I168" s="54" t="s">
        <v>270</v>
      </c>
      <c r="J168" s="44"/>
    </row>
    <row r="169" spans="1:10" ht="16.5" thickBot="1" x14ac:dyDescent="0.3">
      <c r="A169" s="132"/>
      <c r="B169" s="133"/>
      <c r="C169" s="133"/>
      <c r="D169" s="134"/>
      <c r="E169" s="157">
        <v>45443</v>
      </c>
      <c r="F169" s="158" t="s">
        <v>323</v>
      </c>
      <c r="G169" s="158" t="s">
        <v>322</v>
      </c>
      <c r="H169" s="159">
        <v>584572.98</v>
      </c>
      <c r="I169" s="160" t="s">
        <v>273</v>
      </c>
      <c r="J169" s="44"/>
    </row>
    <row r="170" spans="1:10" ht="16.5" thickBot="1" x14ac:dyDescent="0.3">
      <c r="A170" s="114"/>
      <c r="B170" s="114"/>
      <c r="C170" s="114"/>
      <c r="D170" s="115"/>
      <c r="E170" s="161">
        <v>45494</v>
      </c>
      <c r="F170" s="162" t="s">
        <v>375</v>
      </c>
      <c r="G170" s="163" t="s">
        <v>376</v>
      </c>
      <c r="H170" s="172">
        <v>88693.84</v>
      </c>
      <c r="I170" s="168" t="s">
        <v>270</v>
      </c>
      <c r="J170" s="44"/>
    </row>
    <row r="171" spans="1:10" ht="16.5" thickBot="1" x14ac:dyDescent="0.3">
      <c r="A171" s="132"/>
      <c r="B171" s="133"/>
      <c r="C171" s="133"/>
      <c r="D171" s="134"/>
      <c r="E171" s="157">
        <v>45635</v>
      </c>
      <c r="F171" s="166" t="s">
        <v>377</v>
      </c>
      <c r="G171" s="167" t="s">
        <v>378</v>
      </c>
      <c r="H171" s="173">
        <v>118980</v>
      </c>
      <c r="I171" s="160" t="s">
        <v>270</v>
      </c>
      <c r="J171" s="44"/>
    </row>
    <row r="172" spans="1:10" ht="16.5" thickBot="1" x14ac:dyDescent="0.3">
      <c r="A172" s="132"/>
      <c r="B172" s="133"/>
      <c r="C172" s="133"/>
      <c r="D172" s="134"/>
      <c r="E172" s="157">
        <v>45635</v>
      </c>
      <c r="F172" s="166" t="s">
        <v>382</v>
      </c>
      <c r="G172" s="167" t="s">
        <v>383</v>
      </c>
      <c r="H172" s="173">
        <v>60800</v>
      </c>
      <c r="I172" s="160" t="s">
        <v>270</v>
      </c>
      <c r="J172" s="44"/>
    </row>
    <row r="173" spans="1:10" ht="15.75" x14ac:dyDescent="0.25">
      <c r="A173" s="27"/>
      <c r="B173" s="27"/>
      <c r="C173" s="27"/>
      <c r="D173" s="31"/>
      <c r="E173" s="156"/>
      <c r="F173" s="164"/>
      <c r="G173" s="165"/>
      <c r="H173" s="174"/>
      <c r="I173" s="169"/>
      <c r="J173" s="44"/>
    </row>
    <row r="174" spans="1:10" ht="15.75" x14ac:dyDescent="0.25">
      <c r="A174" s="5"/>
      <c r="B174" s="5"/>
      <c r="C174" s="5"/>
      <c r="D174" s="42"/>
      <c r="E174" s="103"/>
      <c r="F174" s="89"/>
      <c r="G174" s="110"/>
      <c r="H174" s="175"/>
      <c r="I174" s="170"/>
      <c r="J174" s="44"/>
    </row>
    <row r="175" spans="1:10" ht="15.75" x14ac:dyDescent="0.25">
      <c r="A175" s="5"/>
      <c r="B175" s="5"/>
      <c r="C175" s="5"/>
      <c r="D175" s="42"/>
      <c r="E175" s="103"/>
      <c r="F175" s="89"/>
      <c r="G175" s="110"/>
      <c r="H175" s="175"/>
      <c r="I175" s="170"/>
      <c r="J175" s="44"/>
    </row>
    <row r="176" spans="1:10" ht="16.5" thickBot="1" x14ac:dyDescent="0.3">
      <c r="A176" s="5"/>
      <c r="B176" s="5"/>
      <c r="C176" s="5"/>
      <c r="D176" s="42"/>
      <c r="E176" s="103"/>
      <c r="F176" s="89"/>
      <c r="G176" s="110"/>
      <c r="H176" s="176"/>
      <c r="I176" s="171"/>
      <c r="J176" s="44"/>
    </row>
    <row r="177" spans="1:11" ht="16.5" thickBot="1" x14ac:dyDescent="0.3">
      <c r="A177" s="48"/>
      <c r="B177" s="49"/>
      <c r="C177" s="49"/>
      <c r="D177" s="70"/>
      <c r="E177" s="92"/>
      <c r="F177" s="92"/>
      <c r="G177" s="90" t="s">
        <v>226</v>
      </c>
      <c r="H177" s="79">
        <f>SUM(H134:H176)</f>
        <v>9372325.0200000014</v>
      </c>
      <c r="I177" s="131">
        <v>2024</v>
      </c>
      <c r="J177" s="189" t="s">
        <v>307</v>
      </c>
      <c r="K177" s="65" t="s">
        <v>308</v>
      </c>
    </row>
    <row r="178" spans="1:11" ht="15.75" thickBot="1" x14ac:dyDescent="0.3">
      <c r="A178" s="132"/>
      <c r="B178" s="133"/>
      <c r="C178" s="133"/>
      <c r="D178" s="134"/>
      <c r="E178" s="135"/>
      <c r="F178" s="135"/>
      <c r="G178" s="135"/>
      <c r="H178" s="136"/>
      <c r="I178" s="135"/>
      <c r="J178" s="190"/>
    </row>
  </sheetData>
  <mergeCells count="2">
    <mergeCell ref="K138:P138"/>
    <mergeCell ref="K125:L125"/>
  </mergeCells>
  <conditionalFormatting sqref="P14 H1:H1048576 O1:O42 O44:O54 O58:O66 O68:O81 O83:O94 O96:O97 O99:O108 O110:O1048576 N109 N98 N95 N82 N66 N57 O56 N55 N43">
    <cfRule type="duplicateValues" dxfId="1" priority="1"/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4F66-7DF1-459D-B6F3-F4ABA2EA5320}">
  <dimension ref="B4:B215"/>
  <sheetViews>
    <sheetView topLeftCell="A97" workbookViewId="0">
      <selection activeCell="B97" sqref="B97"/>
    </sheetView>
  </sheetViews>
  <sheetFormatPr baseColWidth="10" defaultRowHeight="15" x14ac:dyDescent="0.25"/>
  <cols>
    <col min="2" max="2" width="12.7109375" bestFit="1" customWidth="1"/>
  </cols>
  <sheetData>
    <row r="4" spans="2:2" x14ac:dyDescent="0.25">
      <c r="B4" s="146">
        <v>14.78</v>
      </c>
    </row>
    <row r="5" spans="2:2" ht="15.75" thickBot="1" x14ac:dyDescent="0.3">
      <c r="B5" s="237">
        <v>14.78</v>
      </c>
    </row>
    <row r="6" spans="2:2" ht="15.75" thickBot="1" x14ac:dyDescent="0.3">
      <c r="B6" s="239">
        <v>19</v>
      </c>
    </row>
    <row r="7" spans="2:2" x14ac:dyDescent="0.25">
      <c r="B7" s="146">
        <v>19</v>
      </c>
    </row>
    <row r="8" spans="2:2" x14ac:dyDescent="0.25">
      <c r="B8" s="75">
        <v>19</v>
      </c>
    </row>
    <row r="9" spans="2:2" x14ac:dyDescent="0.25">
      <c r="B9" s="75">
        <v>19</v>
      </c>
    </row>
    <row r="10" spans="2:2" x14ac:dyDescent="0.25">
      <c r="B10" s="75">
        <v>19</v>
      </c>
    </row>
    <row r="11" spans="2:2" x14ac:dyDescent="0.25">
      <c r="B11" s="75">
        <v>19</v>
      </c>
    </row>
    <row r="12" spans="2:2" x14ac:dyDescent="0.25">
      <c r="B12" s="75">
        <v>19</v>
      </c>
    </row>
    <row r="13" spans="2:2" x14ac:dyDescent="0.25">
      <c r="B13" s="75">
        <v>19</v>
      </c>
    </row>
    <row r="14" spans="2:2" x14ac:dyDescent="0.25">
      <c r="B14" s="75">
        <v>19</v>
      </c>
    </row>
    <row r="15" spans="2:2" x14ac:dyDescent="0.25">
      <c r="B15" s="75">
        <v>19</v>
      </c>
    </row>
    <row r="16" spans="2:2" ht="15.75" thickBot="1" x14ac:dyDescent="0.3">
      <c r="B16" s="144">
        <v>19</v>
      </c>
    </row>
    <row r="17" spans="2:2" ht="15.75" thickBot="1" x14ac:dyDescent="0.3">
      <c r="B17" s="239">
        <v>19</v>
      </c>
    </row>
    <row r="18" spans="2:2" x14ac:dyDescent="0.25">
      <c r="B18" s="238">
        <v>19</v>
      </c>
    </row>
    <row r="19" spans="2:2" x14ac:dyDescent="0.25">
      <c r="B19" s="236">
        <v>19</v>
      </c>
    </row>
    <row r="20" spans="2:2" ht="15.75" thickBot="1" x14ac:dyDescent="0.3">
      <c r="B20" s="237">
        <v>19</v>
      </c>
    </row>
    <row r="21" spans="2:2" ht="15.75" thickBot="1" x14ac:dyDescent="0.3">
      <c r="B21" s="136">
        <v>19</v>
      </c>
    </row>
    <row r="22" spans="2:2" x14ac:dyDescent="0.25">
      <c r="B22" s="238">
        <v>19</v>
      </c>
    </row>
    <row r="23" spans="2:2" x14ac:dyDescent="0.25">
      <c r="B23" s="236">
        <v>19</v>
      </c>
    </row>
    <row r="24" spans="2:2" x14ac:dyDescent="0.25">
      <c r="B24" s="236">
        <v>19</v>
      </c>
    </row>
    <row r="25" spans="2:2" x14ac:dyDescent="0.25">
      <c r="B25" s="236">
        <v>19</v>
      </c>
    </row>
    <row r="26" spans="2:2" ht="15.75" thickBot="1" x14ac:dyDescent="0.3">
      <c r="B26" s="237">
        <v>19</v>
      </c>
    </row>
    <row r="27" spans="2:2" ht="15.75" thickBot="1" x14ac:dyDescent="0.3">
      <c r="B27" s="136">
        <v>19</v>
      </c>
    </row>
    <row r="28" spans="2:2" x14ac:dyDescent="0.25">
      <c r="B28" s="238">
        <v>19</v>
      </c>
    </row>
    <row r="29" spans="2:2" x14ac:dyDescent="0.25">
      <c r="B29" s="236">
        <v>19</v>
      </c>
    </row>
    <row r="30" spans="2:2" x14ac:dyDescent="0.25">
      <c r="B30" s="75">
        <v>23.73</v>
      </c>
    </row>
    <row r="31" spans="2:2" x14ac:dyDescent="0.25">
      <c r="B31" s="236">
        <v>23.73</v>
      </c>
    </row>
    <row r="32" spans="2:2" x14ac:dyDescent="0.25">
      <c r="B32" s="75">
        <v>28.5</v>
      </c>
    </row>
    <row r="33" spans="2:2" x14ac:dyDescent="0.25">
      <c r="B33" s="75">
        <v>28.5</v>
      </c>
    </row>
    <row r="34" spans="2:2" x14ac:dyDescent="0.25">
      <c r="B34" s="75">
        <v>28.5</v>
      </c>
    </row>
    <row r="35" spans="2:2" x14ac:dyDescent="0.25">
      <c r="B35" s="75">
        <v>28.5</v>
      </c>
    </row>
    <row r="36" spans="2:2" x14ac:dyDescent="0.25">
      <c r="B36" s="75">
        <v>28.5</v>
      </c>
    </row>
    <row r="37" spans="2:2" x14ac:dyDescent="0.25">
      <c r="B37" s="75">
        <v>28.5</v>
      </c>
    </row>
    <row r="38" spans="2:2" ht="15.75" thickBot="1" x14ac:dyDescent="0.3">
      <c r="B38" s="144">
        <v>28.5</v>
      </c>
    </row>
    <row r="39" spans="2:2" ht="15.75" thickBot="1" x14ac:dyDescent="0.3">
      <c r="B39" s="136">
        <v>28.5</v>
      </c>
    </row>
    <row r="40" spans="2:2" x14ac:dyDescent="0.25">
      <c r="B40" s="238">
        <v>28.5</v>
      </c>
    </row>
    <row r="41" spans="2:2" x14ac:dyDescent="0.25">
      <c r="B41" s="236">
        <v>28.5</v>
      </c>
    </row>
    <row r="42" spans="2:2" x14ac:dyDescent="0.25">
      <c r="B42" s="237">
        <v>28.5</v>
      </c>
    </row>
    <row r="43" spans="2:2" x14ac:dyDescent="0.25">
      <c r="B43" s="238">
        <v>28.5</v>
      </c>
    </row>
    <row r="44" spans="2:2" x14ac:dyDescent="0.25">
      <c r="B44" s="236">
        <v>28.5</v>
      </c>
    </row>
    <row r="45" spans="2:2" x14ac:dyDescent="0.25">
      <c r="B45" s="236">
        <v>28.5</v>
      </c>
    </row>
    <row r="46" spans="2:2" x14ac:dyDescent="0.25">
      <c r="B46" s="75">
        <v>76</v>
      </c>
    </row>
    <row r="47" spans="2:2" x14ac:dyDescent="0.25">
      <c r="B47" s="236">
        <v>76</v>
      </c>
    </row>
    <row r="48" spans="2:2" x14ac:dyDescent="0.25">
      <c r="B48" s="75">
        <v>108.19</v>
      </c>
    </row>
    <row r="49" spans="2:2" x14ac:dyDescent="0.25">
      <c r="B49" s="75">
        <v>108.19</v>
      </c>
    </row>
    <row r="50" spans="2:2" x14ac:dyDescent="0.25">
      <c r="B50" s="75">
        <v>108.19</v>
      </c>
    </row>
    <row r="51" spans="2:2" x14ac:dyDescent="0.25">
      <c r="B51" s="75">
        <v>108.19</v>
      </c>
    </row>
    <row r="52" spans="2:2" x14ac:dyDescent="0.25">
      <c r="B52" s="236">
        <v>108.19</v>
      </c>
    </row>
    <row r="53" spans="2:2" x14ac:dyDescent="0.25">
      <c r="B53" s="237">
        <v>108.19</v>
      </c>
    </row>
    <row r="54" spans="2:2" x14ac:dyDescent="0.25">
      <c r="B54" s="233">
        <v>108.19</v>
      </c>
    </row>
    <row r="55" spans="2:2" x14ac:dyDescent="0.25">
      <c r="B55" s="238">
        <v>108.19</v>
      </c>
    </row>
    <row r="56" spans="2:2" ht="15.75" thickBot="1" x14ac:dyDescent="0.3">
      <c r="B56" s="76">
        <v>114</v>
      </c>
    </row>
    <row r="57" spans="2:2" x14ac:dyDescent="0.25">
      <c r="B57" s="240">
        <v>114</v>
      </c>
    </row>
    <row r="58" spans="2:2" x14ac:dyDescent="0.25">
      <c r="B58" s="75">
        <v>282.51</v>
      </c>
    </row>
    <row r="59" spans="2:2" x14ac:dyDescent="0.25">
      <c r="B59" s="236">
        <v>282.51</v>
      </c>
    </row>
    <row r="60" spans="2:2" x14ac:dyDescent="0.25">
      <c r="B60" s="75">
        <v>309.02999999999997</v>
      </c>
    </row>
    <row r="61" spans="2:2" x14ac:dyDescent="0.25">
      <c r="B61" s="236">
        <v>309.02999999999997</v>
      </c>
    </row>
    <row r="62" spans="2:2" x14ac:dyDescent="0.25">
      <c r="B62" s="75">
        <v>332.8</v>
      </c>
    </row>
    <row r="63" spans="2:2" x14ac:dyDescent="0.25">
      <c r="B63" s="237">
        <v>332.8</v>
      </c>
    </row>
    <row r="64" spans="2:2" x14ac:dyDescent="0.25">
      <c r="B64" s="146">
        <v>380</v>
      </c>
    </row>
    <row r="65" spans="2:2" ht="15.75" thickBot="1" x14ac:dyDescent="0.3">
      <c r="B65" s="237">
        <v>380</v>
      </c>
    </row>
    <row r="66" spans="2:2" ht="15.75" thickBot="1" x14ac:dyDescent="0.3">
      <c r="B66" s="239">
        <v>622.67999999999995</v>
      </c>
    </row>
    <row r="67" spans="2:2" x14ac:dyDescent="0.25">
      <c r="B67" s="238">
        <v>622.67999999999995</v>
      </c>
    </row>
    <row r="68" spans="2:2" x14ac:dyDescent="0.25">
      <c r="B68" s="75">
        <v>2845.5</v>
      </c>
    </row>
    <row r="69" spans="2:2" x14ac:dyDescent="0.25">
      <c r="B69" s="236">
        <v>2845.5</v>
      </c>
    </row>
    <row r="70" spans="2:2" x14ac:dyDescent="0.25">
      <c r="B70" s="75">
        <v>3875.71</v>
      </c>
    </row>
    <row r="71" spans="2:2" x14ac:dyDescent="0.25">
      <c r="B71" s="236">
        <v>3875.71</v>
      </c>
    </row>
    <row r="72" spans="2:2" ht="15.75" thickBot="1" x14ac:dyDescent="0.3">
      <c r="B72" s="144">
        <v>5130</v>
      </c>
    </row>
    <row r="73" spans="2:2" ht="15.75" thickBot="1" x14ac:dyDescent="0.3">
      <c r="B73" s="136">
        <v>5130</v>
      </c>
    </row>
    <row r="74" spans="2:2" x14ac:dyDescent="0.25">
      <c r="B74" s="146">
        <v>7125</v>
      </c>
    </row>
    <row r="75" spans="2:2" x14ac:dyDescent="0.25">
      <c r="B75" s="236">
        <v>7125</v>
      </c>
    </row>
    <row r="76" spans="2:2" x14ac:dyDescent="0.25">
      <c r="B76" s="144">
        <v>7182</v>
      </c>
    </row>
    <row r="77" spans="2:2" x14ac:dyDescent="0.25">
      <c r="B77" s="238">
        <v>7182</v>
      </c>
    </row>
    <row r="78" spans="2:2" ht="15.75" thickBot="1" x14ac:dyDescent="0.3">
      <c r="B78" s="144">
        <v>8701.43</v>
      </c>
    </row>
    <row r="79" spans="2:2" ht="15.75" thickBot="1" x14ac:dyDescent="0.3">
      <c r="B79" s="136">
        <v>8701.43</v>
      </c>
    </row>
    <row r="80" spans="2:2" x14ac:dyDescent="0.25">
      <c r="B80" s="146">
        <v>12559.68</v>
      </c>
    </row>
    <row r="81" spans="2:2" x14ac:dyDescent="0.25">
      <c r="B81" s="236">
        <v>12559.68</v>
      </c>
    </row>
    <row r="82" spans="2:2" x14ac:dyDescent="0.25">
      <c r="B82" s="75">
        <v>14936.55</v>
      </c>
    </row>
    <row r="83" spans="2:2" x14ac:dyDescent="0.25">
      <c r="B83" s="75">
        <v>14936.55</v>
      </c>
    </row>
    <row r="84" spans="2:2" x14ac:dyDescent="0.25">
      <c r="B84" s="73">
        <v>14936.55</v>
      </c>
    </row>
    <row r="85" spans="2:2" x14ac:dyDescent="0.25">
      <c r="B85" s="236">
        <v>14936.55</v>
      </c>
    </row>
    <row r="86" spans="2:2" ht="15.75" thickBot="1" x14ac:dyDescent="0.3">
      <c r="B86" s="237">
        <v>14936.55</v>
      </c>
    </row>
    <row r="87" spans="2:2" ht="15.75" thickBot="1" x14ac:dyDescent="0.3">
      <c r="B87" s="136">
        <v>14936.55</v>
      </c>
    </row>
    <row r="88" spans="2:2" x14ac:dyDescent="0.25">
      <c r="B88" s="153">
        <v>17251.68</v>
      </c>
    </row>
    <row r="89" spans="2:2" x14ac:dyDescent="0.25">
      <c r="B89" s="238">
        <v>17251.68</v>
      </c>
    </row>
    <row r="90" spans="2:2" x14ac:dyDescent="0.25">
      <c r="B90" s="75">
        <v>17890.34</v>
      </c>
    </row>
    <row r="91" spans="2:2" x14ac:dyDescent="0.25">
      <c r="B91" s="236">
        <v>17890.34</v>
      </c>
    </row>
    <row r="92" spans="2:2" x14ac:dyDescent="0.25">
      <c r="B92" s="75">
        <v>19000</v>
      </c>
    </row>
    <row r="93" spans="2:2" x14ac:dyDescent="0.25">
      <c r="B93" s="236">
        <v>19000</v>
      </c>
    </row>
    <row r="94" spans="2:2" x14ac:dyDescent="0.25">
      <c r="B94" s="75">
        <v>19579.25</v>
      </c>
    </row>
    <row r="95" spans="2:2" x14ac:dyDescent="0.25">
      <c r="B95" s="236">
        <v>19579.25</v>
      </c>
    </row>
    <row r="96" spans="2:2" x14ac:dyDescent="0.25">
      <c r="B96" s="75">
        <v>20684.45</v>
      </c>
    </row>
    <row r="97" spans="2:2" x14ac:dyDescent="0.25">
      <c r="B97" s="236">
        <v>20684.45</v>
      </c>
    </row>
    <row r="98" spans="2:2" x14ac:dyDescent="0.25">
      <c r="B98" s="75">
        <v>22233.77</v>
      </c>
    </row>
    <row r="99" spans="2:2" ht="15.75" thickBot="1" x14ac:dyDescent="0.3">
      <c r="B99" s="237">
        <v>22233.77</v>
      </c>
    </row>
    <row r="100" spans="2:2" ht="15.75" thickBot="1" x14ac:dyDescent="0.3">
      <c r="B100" s="147">
        <v>24901.85</v>
      </c>
    </row>
    <row r="101" spans="2:2" ht="15.75" thickBot="1" x14ac:dyDescent="0.3">
      <c r="B101" s="233">
        <v>24901.85</v>
      </c>
    </row>
    <row r="102" spans="2:2" ht="15.75" thickBot="1" x14ac:dyDescent="0.3">
      <c r="B102" s="239">
        <v>26248.5</v>
      </c>
    </row>
    <row r="103" spans="2:2" ht="15.75" thickBot="1" x14ac:dyDescent="0.3">
      <c r="B103" s="233">
        <v>26248.5</v>
      </c>
    </row>
    <row r="104" spans="2:2" ht="15.75" thickBot="1" x14ac:dyDescent="0.3">
      <c r="B104" s="147">
        <v>27360</v>
      </c>
    </row>
    <row r="105" spans="2:2" x14ac:dyDescent="0.25">
      <c r="B105" s="233">
        <v>27360</v>
      </c>
    </row>
    <row r="106" spans="2:2" ht="15.75" thickBot="1" x14ac:dyDescent="0.3">
      <c r="B106" s="155">
        <v>31248</v>
      </c>
    </row>
    <row r="107" spans="2:2" ht="15.75" thickBot="1" x14ac:dyDescent="0.3">
      <c r="B107" s="136">
        <v>31248</v>
      </c>
    </row>
    <row r="108" spans="2:2" ht="15.75" thickBot="1" x14ac:dyDescent="0.3">
      <c r="B108" s="241">
        <v>31248</v>
      </c>
    </row>
    <row r="109" spans="2:2" ht="15.75" thickBot="1" x14ac:dyDescent="0.3">
      <c r="B109" s="239">
        <v>34289.019999999997</v>
      </c>
    </row>
    <row r="110" spans="2:2" x14ac:dyDescent="0.25">
      <c r="B110" s="233">
        <v>34289.019999999997</v>
      </c>
    </row>
    <row r="111" spans="2:2" x14ac:dyDescent="0.25">
      <c r="B111" s="153">
        <v>54729</v>
      </c>
    </row>
    <row r="112" spans="2:2" x14ac:dyDescent="0.25">
      <c r="B112" s="233">
        <v>54729</v>
      </c>
    </row>
    <row r="113" spans="2:2" x14ac:dyDescent="0.25">
      <c r="B113" s="155">
        <v>72200</v>
      </c>
    </row>
    <row r="114" spans="2:2" x14ac:dyDescent="0.25">
      <c r="B114" s="233">
        <v>72200</v>
      </c>
    </row>
    <row r="115" spans="2:2" x14ac:dyDescent="0.25">
      <c r="B115" s="155">
        <v>76028.3</v>
      </c>
    </row>
    <row r="116" spans="2:2" x14ac:dyDescent="0.25">
      <c r="B116" s="233">
        <v>76028.3</v>
      </c>
    </row>
    <row r="117" spans="2:2" x14ac:dyDescent="0.25">
      <c r="B117" s="155">
        <v>83277</v>
      </c>
    </row>
    <row r="118" spans="2:2" x14ac:dyDescent="0.25">
      <c r="B118" s="155">
        <v>83277</v>
      </c>
    </row>
    <row r="119" spans="2:2" x14ac:dyDescent="0.25">
      <c r="B119" s="155">
        <v>83277</v>
      </c>
    </row>
    <row r="120" spans="2:2" x14ac:dyDescent="0.25">
      <c r="B120" s="233">
        <v>83277</v>
      </c>
    </row>
    <row r="121" spans="2:2" x14ac:dyDescent="0.25">
      <c r="B121" s="233">
        <v>83277</v>
      </c>
    </row>
    <row r="122" spans="2:2" x14ac:dyDescent="0.25">
      <c r="B122" s="233">
        <v>83277</v>
      </c>
    </row>
    <row r="123" spans="2:2" x14ac:dyDescent="0.25">
      <c r="B123" s="153">
        <v>86889.1</v>
      </c>
    </row>
    <row r="124" spans="2:2" x14ac:dyDescent="0.25">
      <c r="B124" s="233">
        <v>86889.1</v>
      </c>
    </row>
    <row r="125" spans="2:2" x14ac:dyDescent="0.25">
      <c r="B125" s="155">
        <v>90744.28</v>
      </c>
    </row>
    <row r="126" spans="2:2" x14ac:dyDescent="0.25">
      <c r="B126" s="233">
        <v>90744.28</v>
      </c>
    </row>
    <row r="127" spans="2:2" x14ac:dyDescent="0.25">
      <c r="B127" s="155">
        <v>104120</v>
      </c>
    </row>
    <row r="128" spans="2:2" x14ac:dyDescent="0.25">
      <c r="B128" s="233">
        <v>104120</v>
      </c>
    </row>
    <row r="129" spans="2:2" x14ac:dyDescent="0.25">
      <c r="B129" s="155">
        <v>140083.20000000001</v>
      </c>
    </row>
    <row r="130" spans="2:2" x14ac:dyDescent="0.25">
      <c r="B130" s="233">
        <v>140083.20000000001</v>
      </c>
    </row>
    <row r="131" spans="2:2" x14ac:dyDescent="0.25">
      <c r="B131" s="155">
        <v>167472.44</v>
      </c>
    </row>
    <row r="132" spans="2:2" x14ac:dyDescent="0.25">
      <c r="B132" s="233">
        <v>167472.44</v>
      </c>
    </row>
    <row r="133" spans="2:2" x14ac:dyDescent="0.25">
      <c r="B133" s="155">
        <v>175043.63</v>
      </c>
    </row>
    <row r="134" spans="2:2" x14ac:dyDescent="0.25">
      <c r="B134" s="233">
        <v>175043.63</v>
      </c>
    </row>
    <row r="135" spans="2:2" x14ac:dyDescent="0.25">
      <c r="B135" s="153">
        <v>177837.03</v>
      </c>
    </row>
    <row r="136" spans="2:2" x14ac:dyDescent="0.25">
      <c r="B136" s="155">
        <v>177837.03</v>
      </c>
    </row>
    <row r="137" spans="2:2" x14ac:dyDescent="0.25">
      <c r="B137" s="233">
        <v>177837.03</v>
      </c>
    </row>
    <row r="138" spans="2:2" x14ac:dyDescent="0.25">
      <c r="B138" s="155">
        <v>189762.5</v>
      </c>
    </row>
    <row r="139" spans="2:2" x14ac:dyDescent="0.25">
      <c r="B139" s="233">
        <v>189762.5</v>
      </c>
    </row>
    <row r="140" spans="2:2" x14ac:dyDescent="0.25">
      <c r="B140" s="155">
        <v>212385.35</v>
      </c>
    </row>
    <row r="141" spans="2:2" x14ac:dyDescent="0.25">
      <c r="B141" s="233">
        <v>212385.35</v>
      </c>
    </row>
    <row r="142" spans="2:2" x14ac:dyDescent="0.25">
      <c r="B142" s="155">
        <v>217861</v>
      </c>
    </row>
    <row r="143" spans="2:2" x14ac:dyDescent="0.25">
      <c r="B143" s="233">
        <v>217861</v>
      </c>
    </row>
    <row r="144" spans="2:2" x14ac:dyDescent="0.25">
      <c r="B144" s="155">
        <v>225639.09</v>
      </c>
    </row>
    <row r="145" spans="2:2" x14ac:dyDescent="0.25">
      <c r="B145" s="233">
        <v>225639.09</v>
      </c>
    </row>
    <row r="146" spans="2:2" x14ac:dyDescent="0.25">
      <c r="B146" s="155">
        <v>233840.26</v>
      </c>
    </row>
    <row r="147" spans="2:2" x14ac:dyDescent="0.25">
      <c r="B147" s="233">
        <v>233840.26</v>
      </c>
    </row>
    <row r="148" spans="2:2" x14ac:dyDescent="0.25">
      <c r="B148" s="155">
        <v>252778.58</v>
      </c>
    </row>
    <row r="149" spans="2:2" x14ac:dyDescent="0.25">
      <c r="B149" s="233">
        <v>252778.58</v>
      </c>
    </row>
    <row r="150" spans="2:2" x14ac:dyDescent="0.25">
      <c r="B150" s="155">
        <v>255225.08</v>
      </c>
    </row>
    <row r="151" spans="2:2" x14ac:dyDescent="0.25">
      <c r="B151" s="233">
        <v>255225.08</v>
      </c>
    </row>
    <row r="152" spans="2:2" x14ac:dyDescent="0.25">
      <c r="B152" s="155">
        <v>273600</v>
      </c>
    </row>
    <row r="153" spans="2:2" x14ac:dyDescent="0.25">
      <c r="B153" s="233">
        <v>273600</v>
      </c>
    </row>
    <row r="154" spans="2:2" x14ac:dyDescent="0.25">
      <c r="B154" s="155">
        <v>275756.38</v>
      </c>
    </row>
    <row r="155" spans="2:2" x14ac:dyDescent="0.25">
      <c r="B155" s="233">
        <v>275756.38</v>
      </c>
    </row>
    <row r="156" spans="2:2" x14ac:dyDescent="0.25">
      <c r="B156" s="155">
        <v>277251.53999999998</v>
      </c>
    </row>
    <row r="157" spans="2:2" x14ac:dyDescent="0.25">
      <c r="B157" s="233">
        <v>277251.53999999998</v>
      </c>
    </row>
    <row r="158" spans="2:2" x14ac:dyDescent="0.25">
      <c r="B158" s="155">
        <v>278294.12</v>
      </c>
    </row>
    <row r="159" spans="2:2" x14ac:dyDescent="0.25">
      <c r="B159" s="233">
        <v>278294.12</v>
      </c>
    </row>
    <row r="160" spans="2:2" x14ac:dyDescent="0.25">
      <c r="B160" s="155">
        <v>313246.71000000002</v>
      </c>
    </row>
    <row r="161" spans="2:2" x14ac:dyDescent="0.25">
      <c r="B161" s="233">
        <v>313246.71000000002</v>
      </c>
    </row>
    <row r="162" spans="2:2" x14ac:dyDescent="0.25">
      <c r="B162" s="155">
        <v>319327.84000000003</v>
      </c>
    </row>
    <row r="163" spans="2:2" x14ac:dyDescent="0.25">
      <c r="B163" s="233">
        <v>319327.84000000003</v>
      </c>
    </row>
    <row r="164" spans="2:2" x14ac:dyDescent="0.25">
      <c r="B164" s="155">
        <v>319328.46000000002</v>
      </c>
    </row>
    <row r="165" spans="2:2" x14ac:dyDescent="0.25">
      <c r="B165" s="233">
        <v>319328.46000000002</v>
      </c>
    </row>
    <row r="166" spans="2:2" x14ac:dyDescent="0.25">
      <c r="B166" s="155">
        <v>319339.84000000003</v>
      </c>
    </row>
    <row r="167" spans="2:2" x14ac:dyDescent="0.25">
      <c r="B167" s="233">
        <v>319339.84000000003</v>
      </c>
    </row>
    <row r="168" spans="2:2" x14ac:dyDescent="0.25">
      <c r="B168" s="153">
        <v>344439.82</v>
      </c>
    </row>
    <row r="169" spans="2:2" x14ac:dyDescent="0.25">
      <c r="B169" s="233">
        <v>344439.82</v>
      </c>
    </row>
    <row r="170" spans="2:2" x14ac:dyDescent="0.25">
      <c r="B170" s="155">
        <v>355583.3</v>
      </c>
    </row>
    <row r="171" spans="2:2" x14ac:dyDescent="0.25">
      <c r="B171" s="233">
        <v>355583.3</v>
      </c>
    </row>
    <row r="172" spans="2:2" x14ac:dyDescent="0.25">
      <c r="B172" s="155">
        <v>387344.54</v>
      </c>
    </row>
    <row r="173" spans="2:2" x14ac:dyDescent="0.25">
      <c r="B173" s="233">
        <v>387344.54</v>
      </c>
    </row>
    <row r="174" spans="2:2" x14ac:dyDescent="0.25">
      <c r="B174" s="155">
        <v>425025.21</v>
      </c>
    </row>
    <row r="175" spans="2:2" x14ac:dyDescent="0.25">
      <c r="B175" s="233">
        <v>425025.21</v>
      </c>
    </row>
    <row r="176" spans="2:2" x14ac:dyDescent="0.25">
      <c r="B176" s="155">
        <v>445528.71</v>
      </c>
    </row>
    <row r="177" spans="2:2" x14ac:dyDescent="0.25">
      <c r="B177" s="233">
        <v>445528.71</v>
      </c>
    </row>
    <row r="178" spans="2:2" x14ac:dyDescent="0.25">
      <c r="B178" s="153">
        <v>522743.05</v>
      </c>
    </row>
    <row r="179" spans="2:2" x14ac:dyDescent="0.25">
      <c r="B179" s="233">
        <v>522743.05</v>
      </c>
    </row>
    <row r="180" spans="2:2" x14ac:dyDescent="0.25">
      <c r="B180" s="153">
        <v>526890.75</v>
      </c>
    </row>
    <row r="181" spans="2:2" x14ac:dyDescent="0.25">
      <c r="B181" s="233">
        <v>526890.75</v>
      </c>
    </row>
    <row r="182" spans="2:2" x14ac:dyDescent="0.25">
      <c r="B182" s="153">
        <v>548554.93000000005</v>
      </c>
    </row>
    <row r="183" spans="2:2" x14ac:dyDescent="0.25">
      <c r="B183" s="153">
        <v>548554.93000000005</v>
      </c>
    </row>
    <row r="184" spans="2:2" x14ac:dyDescent="0.25">
      <c r="B184" s="233">
        <v>548554.93000000005</v>
      </c>
    </row>
    <row r="185" spans="2:2" x14ac:dyDescent="0.25">
      <c r="B185" s="233">
        <v>548554.93000000005</v>
      </c>
    </row>
    <row r="186" spans="2:2" x14ac:dyDescent="0.25">
      <c r="B186" s="155">
        <v>886635</v>
      </c>
    </row>
    <row r="187" spans="2:2" x14ac:dyDescent="0.25">
      <c r="B187" s="233">
        <v>886635</v>
      </c>
    </row>
    <row r="188" spans="2:2" x14ac:dyDescent="0.25">
      <c r="B188" s="155">
        <v>968701.03</v>
      </c>
    </row>
    <row r="189" spans="2:2" x14ac:dyDescent="0.25">
      <c r="B189" s="233">
        <v>968701.03</v>
      </c>
    </row>
    <row r="190" spans="2:2" x14ac:dyDescent="0.25">
      <c r="B190" s="153">
        <v>1276800</v>
      </c>
    </row>
    <row r="191" spans="2:2" x14ac:dyDescent="0.25">
      <c r="B191" s="233">
        <v>1276800</v>
      </c>
    </row>
    <row r="192" spans="2:2" x14ac:dyDescent="0.25">
      <c r="B192" s="155">
        <v>1305003.77</v>
      </c>
    </row>
    <row r="193" spans="2:2" x14ac:dyDescent="0.25">
      <c r="B193" s="233">
        <v>1305003.77</v>
      </c>
    </row>
    <row r="194" spans="2:2" x14ac:dyDescent="0.25">
      <c r="B194" s="155">
        <v>1401272.81</v>
      </c>
    </row>
    <row r="195" spans="2:2" x14ac:dyDescent="0.25">
      <c r="B195" s="233">
        <v>1401272.81</v>
      </c>
    </row>
    <row r="196" spans="2:2" x14ac:dyDescent="0.25">
      <c r="B196" s="155">
        <v>1573087.5</v>
      </c>
    </row>
    <row r="197" spans="2:2" x14ac:dyDescent="0.25">
      <c r="B197" s="233">
        <v>1573087.5</v>
      </c>
    </row>
    <row r="198" spans="2:2" x14ac:dyDescent="0.25">
      <c r="B198" s="155">
        <v>1627166.87</v>
      </c>
    </row>
    <row r="199" spans="2:2" x14ac:dyDescent="0.25">
      <c r="B199" s="233">
        <v>1627166.87</v>
      </c>
    </row>
    <row r="200" spans="2:2" x14ac:dyDescent="0.25">
      <c r="B200" s="155">
        <v>1782874.39</v>
      </c>
    </row>
    <row r="201" spans="2:2" x14ac:dyDescent="0.25">
      <c r="B201" s="233">
        <v>1782874.39</v>
      </c>
    </row>
    <row r="202" spans="2:2" x14ac:dyDescent="0.25">
      <c r="B202" s="155">
        <v>1813230</v>
      </c>
    </row>
    <row r="203" spans="2:2" x14ac:dyDescent="0.25">
      <c r="B203" s="233">
        <v>1813230</v>
      </c>
    </row>
    <row r="204" spans="2:2" x14ac:dyDescent="0.25">
      <c r="B204" s="153">
        <v>1856898.87</v>
      </c>
    </row>
    <row r="205" spans="2:2" x14ac:dyDescent="0.25">
      <c r="B205" s="233">
        <v>1856898.87</v>
      </c>
    </row>
    <row r="206" spans="2:2" x14ac:dyDescent="0.25">
      <c r="B206" s="155">
        <v>1906560</v>
      </c>
    </row>
    <row r="207" spans="2:2" x14ac:dyDescent="0.25">
      <c r="B207" s="233">
        <v>1906560</v>
      </c>
    </row>
    <row r="208" spans="2:2" x14ac:dyDescent="0.25">
      <c r="B208" s="155">
        <v>2008912.5</v>
      </c>
    </row>
    <row r="209" spans="2:2" x14ac:dyDescent="0.25">
      <c r="B209" s="233">
        <v>2008912.5</v>
      </c>
    </row>
    <row r="210" spans="2:2" x14ac:dyDescent="0.25">
      <c r="B210" s="155">
        <v>2263634.61</v>
      </c>
    </row>
    <row r="211" spans="2:2" x14ac:dyDescent="0.25">
      <c r="B211" s="233">
        <v>2263634.61</v>
      </c>
    </row>
    <row r="212" spans="2:2" x14ac:dyDescent="0.25">
      <c r="B212" s="155">
        <v>2460537</v>
      </c>
    </row>
    <row r="213" spans="2:2" x14ac:dyDescent="0.25">
      <c r="B213" s="233">
        <v>2460537</v>
      </c>
    </row>
    <row r="214" spans="2:2" x14ac:dyDescent="0.25">
      <c r="B214" s="155">
        <v>3683235.41</v>
      </c>
    </row>
    <row r="215" spans="2:2" x14ac:dyDescent="0.25">
      <c r="B215" s="233">
        <v>3683235.41</v>
      </c>
    </row>
  </sheetData>
  <sortState xmlns:xlrd2="http://schemas.microsoft.com/office/spreadsheetml/2017/richdata2" ref="B4:B223">
    <sortCondition ref="B4:B2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ABFE-339F-41BD-8F67-71CD80E39D4C}">
  <dimension ref="A1:M147"/>
  <sheetViews>
    <sheetView topLeftCell="A117" workbookViewId="0">
      <selection activeCell="K124" sqref="K124"/>
    </sheetView>
  </sheetViews>
  <sheetFormatPr baseColWidth="10" defaultRowHeight="15" x14ac:dyDescent="0.25"/>
  <cols>
    <col min="6" max="6" width="12.7109375" customWidth="1"/>
    <col min="7" max="7" width="30.42578125" bestFit="1" customWidth="1"/>
    <col min="8" max="8" width="13.7109375" bestFit="1" customWidth="1"/>
    <col min="9" max="9" width="12.7109375" bestFit="1" customWidth="1"/>
    <col min="10" max="10" width="13.7109375" bestFit="1" customWidth="1"/>
    <col min="11" max="12" width="12.7109375" bestFit="1" customWidth="1"/>
    <col min="13" max="13" width="16.42578125" bestFit="1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 t="s">
        <v>6</v>
      </c>
      <c r="H1" s="5" t="s">
        <v>8</v>
      </c>
    </row>
    <row r="2" spans="1:11" x14ac:dyDescent="0.25">
      <c r="A2" s="5">
        <v>1</v>
      </c>
      <c r="B2" s="5" t="s">
        <v>9</v>
      </c>
      <c r="C2" s="5">
        <v>5</v>
      </c>
      <c r="D2" s="5">
        <v>2</v>
      </c>
      <c r="E2" s="19">
        <v>44681</v>
      </c>
      <c r="F2" s="8" t="s">
        <v>157</v>
      </c>
      <c r="G2" s="8" t="s">
        <v>123</v>
      </c>
      <c r="H2" s="17">
        <v>670114.49</v>
      </c>
      <c r="K2" s="233">
        <v>24901.85</v>
      </c>
    </row>
    <row r="3" spans="1:11" x14ac:dyDescent="0.25">
      <c r="A3" s="5">
        <v>2</v>
      </c>
      <c r="B3" s="5" t="s">
        <v>9</v>
      </c>
      <c r="C3" s="5">
        <v>6</v>
      </c>
      <c r="D3" s="5">
        <v>2</v>
      </c>
      <c r="E3" s="19">
        <v>44711</v>
      </c>
      <c r="F3" s="8" t="s">
        <v>158</v>
      </c>
      <c r="G3" s="8" t="s">
        <v>124</v>
      </c>
      <c r="H3" s="17">
        <v>979771.04</v>
      </c>
      <c r="K3" s="233">
        <v>20684.45</v>
      </c>
    </row>
    <row r="4" spans="1:11" x14ac:dyDescent="0.25">
      <c r="A4" s="5">
        <v>3</v>
      </c>
      <c r="B4" s="5" t="s">
        <v>9</v>
      </c>
      <c r="C4" s="5">
        <v>7</v>
      </c>
      <c r="D4" s="5">
        <v>2</v>
      </c>
      <c r="E4" s="19">
        <v>44742</v>
      </c>
      <c r="F4" s="8" t="s">
        <v>159</v>
      </c>
      <c r="G4" s="8" t="s">
        <v>125</v>
      </c>
      <c r="H4" s="17">
        <v>1656853.02</v>
      </c>
      <c r="K4" s="233">
        <v>3683235.41</v>
      </c>
    </row>
    <row r="5" spans="1:11" x14ac:dyDescent="0.25">
      <c r="A5" s="5">
        <v>4</v>
      </c>
      <c r="B5" s="5" t="s">
        <v>9</v>
      </c>
      <c r="C5" s="5">
        <v>8</v>
      </c>
      <c r="D5" s="5">
        <v>2</v>
      </c>
      <c r="E5" s="19">
        <v>44772</v>
      </c>
      <c r="F5" s="8" t="s">
        <v>160</v>
      </c>
      <c r="G5" s="8" t="s">
        <v>126</v>
      </c>
      <c r="H5" s="17">
        <v>1123380.3</v>
      </c>
      <c r="K5" s="233">
        <v>28.5</v>
      </c>
    </row>
    <row r="6" spans="1:11" x14ac:dyDescent="0.25">
      <c r="A6" s="5">
        <v>5</v>
      </c>
      <c r="B6" s="5" t="s">
        <v>9</v>
      </c>
      <c r="C6" s="5">
        <v>9</v>
      </c>
      <c r="D6" s="5">
        <v>2</v>
      </c>
      <c r="E6" s="19">
        <v>44803</v>
      </c>
      <c r="F6" s="8" t="s">
        <v>161</v>
      </c>
      <c r="G6" s="8" t="s">
        <v>127</v>
      </c>
      <c r="H6" s="17">
        <v>1774877.39</v>
      </c>
      <c r="K6" s="233">
        <v>27360</v>
      </c>
    </row>
    <row r="7" spans="1:11" x14ac:dyDescent="0.25">
      <c r="A7" s="5">
        <v>6</v>
      </c>
      <c r="B7" s="5" t="s">
        <v>9</v>
      </c>
      <c r="C7" s="5">
        <v>10</v>
      </c>
      <c r="D7" s="5">
        <v>2</v>
      </c>
      <c r="E7" s="19">
        <v>44834</v>
      </c>
      <c r="F7" s="8" t="s">
        <v>162</v>
      </c>
      <c r="G7" s="8" t="s">
        <v>128</v>
      </c>
      <c r="H7" s="17">
        <v>1708543.91</v>
      </c>
      <c r="K7" s="233">
        <v>17890.34</v>
      </c>
    </row>
    <row r="8" spans="1:11" x14ac:dyDescent="0.25">
      <c r="A8" s="5">
        <v>7</v>
      </c>
      <c r="B8" s="5" t="s">
        <v>9</v>
      </c>
      <c r="C8" s="5">
        <v>11</v>
      </c>
      <c r="D8" s="5">
        <v>2</v>
      </c>
      <c r="E8" s="19">
        <v>44864</v>
      </c>
      <c r="F8" s="8" t="s">
        <v>163</v>
      </c>
      <c r="G8" s="8" t="s">
        <v>129</v>
      </c>
      <c r="H8" s="17">
        <v>1619446.53</v>
      </c>
      <c r="K8" s="233">
        <v>22233.77</v>
      </c>
    </row>
    <row r="9" spans="1:11" x14ac:dyDescent="0.25">
      <c r="A9" s="5">
        <v>8</v>
      </c>
      <c r="B9" s="5" t="s">
        <v>9</v>
      </c>
      <c r="C9" s="5">
        <v>12</v>
      </c>
      <c r="D9" s="5">
        <v>2</v>
      </c>
      <c r="E9" s="19">
        <v>44895</v>
      </c>
      <c r="F9" s="8" t="s">
        <v>164</v>
      </c>
      <c r="G9" s="8" t="s">
        <v>130</v>
      </c>
      <c r="H9" s="17">
        <v>2239469.15</v>
      </c>
      <c r="K9" s="233">
        <v>28.5</v>
      </c>
    </row>
    <row r="10" spans="1:11" x14ac:dyDescent="0.25">
      <c r="A10" s="5"/>
      <c r="B10" s="5"/>
      <c r="C10" s="5"/>
      <c r="D10" s="5"/>
      <c r="E10" s="19">
        <v>44926</v>
      </c>
      <c r="F10" s="8" t="s">
        <v>165</v>
      </c>
      <c r="G10" s="8" t="s">
        <v>152</v>
      </c>
      <c r="H10" s="15">
        <v>1689353.38</v>
      </c>
      <c r="I10" s="1" t="s">
        <v>153</v>
      </c>
      <c r="K10" s="233">
        <v>28.5</v>
      </c>
    </row>
    <row r="11" spans="1:11" x14ac:dyDescent="0.25">
      <c r="A11" s="5">
        <v>1</v>
      </c>
      <c r="B11" s="5" t="s">
        <v>9</v>
      </c>
      <c r="C11" s="5">
        <v>1</v>
      </c>
      <c r="D11" s="5">
        <v>2</v>
      </c>
      <c r="E11" s="6">
        <v>44957</v>
      </c>
      <c r="F11" s="5" t="s">
        <v>10</v>
      </c>
      <c r="G11" s="5" t="s">
        <v>11</v>
      </c>
      <c r="H11" s="7">
        <v>24901.85</v>
      </c>
      <c r="K11" s="233">
        <v>28.5</v>
      </c>
    </row>
    <row r="12" spans="1:11" x14ac:dyDescent="0.25">
      <c r="A12" s="5">
        <v>2</v>
      </c>
      <c r="B12" s="5" t="s">
        <v>9</v>
      </c>
      <c r="C12" s="5">
        <v>1</v>
      </c>
      <c r="D12" s="5">
        <v>6</v>
      </c>
      <c r="E12" s="6">
        <v>44957</v>
      </c>
      <c r="F12" s="5" t="s">
        <v>13</v>
      </c>
      <c r="G12" s="5" t="s">
        <v>14</v>
      </c>
      <c r="H12" s="7">
        <v>20684.45</v>
      </c>
      <c r="K12" s="233">
        <v>26248.5</v>
      </c>
    </row>
    <row r="13" spans="1:11" x14ac:dyDescent="0.25">
      <c r="A13" s="5">
        <v>7</v>
      </c>
      <c r="B13" s="5" t="s">
        <v>9</v>
      </c>
      <c r="C13" s="5">
        <v>1</v>
      </c>
      <c r="D13" s="5">
        <v>23</v>
      </c>
      <c r="E13" s="19">
        <v>44957</v>
      </c>
      <c r="F13" s="8" t="s">
        <v>187</v>
      </c>
      <c r="G13" s="8" t="s">
        <v>166</v>
      </c>
      <c r="H13" s="7">
        <v>3683235.41</v>
      </c>
      <c r="K13" s="233">
        <v>23.73</v>
      </c>
    </row>
    <row r="14" spans="1:11" x14ac:dyDescent="0.25">
      <c r="A14" s="5">
        <v>11</v>
      </c>
      <c r="B14" s="5" t="s">
        <v>15</v>
      </c>
      <c r="C14" s="5">
        <v>1</v>
      </c>
      <c r="D14" s="5">
        <v>39</v>
      </c>
      <c r="E14" s="6">
        <v>44957</v>
      </c>
      <c r="F14" s="5" t="s">
        <v>16</v>
      </c>
      <c r="G14" s="5" t="s">
        <v>17</v>
      </c>
      <c r="H14" s="7">
        <v>28.5</v>
      </c>
      <c r="K14" s="233">
        <v>622.67999999999995</v>
      </c>
    </row>
    <row r="15" spans="1:11" x14ac:dyDescent="0.25">
      <c r="A15" s="5"/>
      <c r="B15" s="5"/>
      <c r="C15" s="5"/>
      <c r="D15" s="5"/>
      <c r="E15" s="5"/>
      <c r="F15" s="5"/>
      <c r="G15" s="5"/>
      <c r="H15" s="5"/>
      <c r="K15" s="233">
        <v>86889.1</v>
      </c>
    </row>
    <row r="16" spans="1:11" x14ac:dyDescent="0.25">
      <c r="A16" s="5">
        <v>3</v>
      </c>
      <c r="B16" s="5" t="s">
        <v>9</v>
      </c>
      <c r="C16" s="5">
        <v>2</v>
      </c>
      <c r="D16" s="5">
        <v>10</v>
      </c>
      <c r="E16" s="6">
        <v>44958</v>
      </c>
      <c r="F16" s="5" t="s">
        <v>20</v>
      </c>
      <c r="G16" s="5" t="s">
        <v>21</v>
      </c>
      <c r="H16" s="7">
        <v>17890.34</v>
      </c>
      <c r="K16" s="233">
        <v>1782874.39</v>
      </c>
    </row>
    <row r="17" spans="1:11" x14ac:dyDescent="0.25">
      <c r="A17" s="5">
        <v>5</v>
      </c>
      <c r="B17" s="5" t="s">
        <v>9</v>
      </c>
      <c r="C17" s="5">
        <v>2</v>
      </c>
      <c r="D17" s="5">
        <v>19</v>
      </c>
      <c r="E17" s="6">
        <v>44958</v>
      </c>
      <c r="F17" s="5" t="s">
        <v>20</v>
      </c>
      <c r="G17" s="5" t="s">
        <v>22</v>
      </c>
      <c r="H17" s="7">
        <v>22233.77</v>
      </c>
      <c r="K17" s="233">
        <v>28.5</v>
      </c>
    </row>
    <row r="18" spans="1:11" x14ac:dyDescent="0.25">
      <c r="A18" s="5">
        <v>1</v>
      </c>
      <c r="B18" s="5" t="s">
        <v>15</v>
      </c>
      <c r="C18" s="5">
        <v>2</v>
      </c>
      <c r="D18" s="5">
        <v>1</v>
      </c>
      <c r="E18" s="6">
        <v>44958</v>
      </c>
      <c r="F18" s="5" t="s">
        <v>16</v>
      </c>
      <c r="G18" s="5" t="s">
        <v>17</v>
      </c>
      <c r="H18" s="7">
        <v>28.5</v>
      </c>
      <c r="K18" s="233">
        <v>7125</v>
      </c>
    </row>
    <row r="19" spans="1:11" x14ac:dyDescent="0.25">
      <c r="A19" s="5">
        <v>8</v>
      </c>
      <c r="B19" s="5" t="s">
        <v>15</v>
      </c>
      <c r="C19" s="5">
        <v>2</v>
      </c>
      <c r="D19" s="5">
        <v>27</v>
      </c>
      <c r="E19" s="6">
        <v>44971</v>
      </c>
      <c r="F19" s="5" t="s">
        <v>16</v>
      </c>
      <c r="G19" s="5" t="s">
        <v>17</v>
      </c>
      <c r="H19" s="7">
        <v>28.5</v>
      </c>
      <c r="K19" s="233">
        <v>548554.93000000005</v>
      </c>
    </row>
    <row r="20" spans="1:11" x14ac:dyDescent="0.25">
      <c r="A20" s="5">
        <v>9</v>
      </c>
      <c r="B20" s="5" t="s">
        <v>15</v>
      </c>
      <c r="C20" s="5">
        <v>2</v>
      </c>
      <c r="D20" s="5">
        <v>33</v>
      </c>
      <c r="E20" s="6">
        <v>44972</v>
      </c>
      <c r="F20" s="5" t="s">
        <v>16</v>
      </c>
      <c r="G20" s="5" t="s">
        <v>17</v>
      </c>
      <c r="H20" s="7">
        <v>28.5</v>
      </c>
      <c r="K20" s="233">
        <v>2263634.61</v>
      </c>
    </row>
    <row r="21" spans="1:11" x14ac:dyDescent="0.25">
      <c r="A21" s="5">
        <v>1</v>
      </c>
      <c r="B21" s="5" t="s">
        <v>9</v>
      </c>
      <c r="C21" s="5">
        <v>2</v>
      </c>
      <c r="D21" s="5">
        <v>2</v>
      </c>
      <c r="E21" s="6">
        <v>44973</v>
      </c>
      <c r="F21" s="5" t="s">
        <v>23</v>
      </c>
      <c r="G21" s="5" t="s">
        <v>24</v>
      </c>
      <c r="H21" s="7">
        <v>26248.5</v>
      </c>
      <c r="K21" s="233">
        <v>14936.55</v>
      </c>
    </row>
    <row r="22" spans="1:11" x14ac:dyDescent="0.25">
      <c r="A22" s="5">
        <v>7</v>
      </c>
      <c r="B22" s="5" t="s">
        <v>9</v>
      </c>
      <c r="C22" s="5">
        <v>5</v>
      </c>
      <c r="D22" s="5">
        <v>27</v>
      </c>
      <c r="E22" s="6">
        <v>44983</v>
      </c>
      <c r="F22" s="5" t="s">
        <v>16</v>
      </c>
      <c r="G22" s="5" t="s">
        <v>25</v>
      </c>
      <c r="H22" s="7">
        <v>23.73</v>
      </c>
      <c r="K22" s="233">
        <v>19579.25</v>
      </c>
    </row>
    <row r="23" spans="1:11" x14ac:dyDescent="0.25">
      <c r="A23" s="5">
        <v>7</v>
      </c>
      <c r="B23" s="5" t="s">
        <v>9</v>
      </c>
      <c r="C23" s="5">
        <v>5</v>
      </c>
      <c r="D23" s="5">
        <v>32</v>
      </c>
      <c r="E23" s="6">
        <v>44983</v>
      </c>
      <c r="F23" s="5" t="s">
        <v>16</v>
      </c>
      <c r="G23" s="5" t="s">
        <v>25</v>
      </c>
      <c r="H23" s="7">
        <v>622.67999999999995</v>
      </c>
      <c r="K23" s="233">
        <v>34289.019999999997</v>
      </c>
    </row>
    <row r="24" spans="1:11" x14ac:dyDescent="0.25">
      <c r="A24" s="5">
        <v>8</v>
      </c>
      <c r="B24" s="5" t="s">
        <v>9</v>
      </c>
      <c r="C24" s="5">
        <v>5</v>
      </c>
      <c r="D24" s="5">
        <v>35</v>
      </c>
      <c r="E24" s="6">
        <v>44984</v>
      </c>
      <c r="F24" s="5" t="s">
        <v>26</v>
      </c>
      <c r="G24" s="5" t="s">
        <v>27</v>
      </c>
      <c r="H24" s="7">
        <v>86889.1</v>
      </c>
      <c r="K24" s="233">
        <v>380</v>
      </c>
    </row>
    <row r="25" spans="1:11" x14ac:dyDescent="0.25">
      <c r="A25" s="5">
        <v>7</v>
      </c>
      <c r="B25" s="5" t="s">
        <v>9</v>
      </c>
      <c r="C25" s="5">
        <v>2</v>
      </c>
      <c r="D25" s="5">
        <v>25</v>
      </c>
      <c r="E25" s="19">
        <v>44985</v>
      </c>
      <c r="F25" s="8" t="s">
        <v>188</v>
      </c>
      <c r="G25" s="8" t="s">
        <v>167</v>
      </c>
      <c r="H25" s="17">
        <v>1782874.39</v>
      </c>
      <c r="K25" s="233">
        <v>114</v>
      </c>
    </row>
    <row r="26" spans="1:11" x14ac:dyDescent="0.25">
      <c r="A26" s="5">
        <v>7</v>
      </c>
      <c r="B26" s="5" t="s">
        <v>15</v>
      </c>
      <c r="C26" s="5">
        <v>3</v>
      </c>
      <c r="D26" s="5">
        <v>22</v>
      </c>
      <c r="E26" s="6">
        <v>44993</v>
      </c>
      <c r="F26" s="5" t="s">
        <v>16</v>
      </c>
      <c r="G26" s="5" t="s">
        <v>17</v>
      </c>
      <c r="H26" s="7">
        <v>28.5</v>
      </c>
      <c r="K26" s="233">
        <v>1401272.81</v>
      </c>
    </row>
    <row r="27" spans="1:11" x14ac:dyDescent="0.25">
      <c r="A27" s="5">
        <v>1</v>
      </c>
      <c r="B27" s="5" t="s">
        <v>9</v>
      </c>
      <c r="C27" s="5">
        <v>3</v>
      </c>
      <c r="D27" s="5">
        <v>2</v>
      </c>
      <c r="E27" s="6">
        <v>45001</v>
      </c>
      <c r="F27" s="5" t="s">
        <v>28</v>
      </c>
      <c r="G27" s="5" t="s">
        <v>29</v>
      </c>
      <c r="H27" s="7">
        <v>7125</v>
      </c>
      <c r="K27" s="233">
        <v>8701.43</v>
      </c>
    </row>
    <row r="28" spans="1:11" x14ac:dyDescent="0.25">
      <c r="A28" s="5">
        <v>4</v>
      </c>
      <c r="B28" s="5" t="s">
        <v>9</v>
      </c>
      <c r="C28" s="5">
        <v>3</v>
      </c>
      <c r="D28" s="5">
        <v>8</v>
      </c>
      <c r="E28" s="6">
        <v>45007</v>
      </c>
      <c r="F28" s="5" t="s">
        <v>16</v>
      </c>
      <c r="G28" s="5" t="s">
        <v>30</v>
      </c>
      <c r="H28" s="7">
        <v>548554.93000000005</v>
      </c>
      <c r="K28" s="233">
        <v>5130</v>
      </c>
    </row>
    <row r="29" spans="1:11" x14ac:dyDescent="0.25">
      <c r="A29" s="5">
        <v>5</v>
      </c>
      <c r="B29" s="5" t="s">
        <v>9</v>
      </c>
      <c r="C29" s="5">
        <v>3</v>
      </c>
      <c r="D29" s="5">
        <v>12</v>
      </c>
      <c r="E29" s="19">
        <v>45016</v>
      </c>
      <c r="F29" s="8" t="s">
        <v>189</v>
      </c>
      <c r="G29" s="8" t="s">
        <v>168</v>
      </c>
      <c r="H29" s="17">
        <v>2263634.61</v>
      </c>
      <c r="K29" s="233">
        <v>19000</v>
      </c>
    </row>
    <row r="30" spans="1:11" x14ac:dyDescent="0.25">
      <c r="A30" s="5">
        <v>4</v>
      </c>
      <c r="B30" s="5" t="s">
        <v>9</v>
      </c>
      <c r="C30" s="5">
        <v>2</v>
      </c>
      <c r="D30" s="5">
        <v>15</v>
      </c>
      <c r="E30" s="6">
        <v>45017</v>
      </c>
      <c r="F30" s="5" t="s">
        <v>20</v>
      </c>
      <c r="G30" s="5" t="s">
        <v>31</v>
      </c>
      <c r="H30" s="7">
        <v>14936.55</v>
      </c>
      <c r="K30" s="233">
        <v>7182</v>
      </c>
    </row>
    <row r="31" spans="1:11" x14ac:dyDescent="0.25">
      <c r="A31" s="5">
        <v>1</v>
      </c>
      <c r="B31" s="5" t="s">
        <v>9</v>
      </c>
      <c r="C31" s="5">
        <v>4</v>
      </c>
      <c r="D31" s="5">
        <v>2</v>
      </c>
      <c r="E31" s="6">
        <v>45018</v>
      </c>
      <c r="F31" s="5" t="s">
        <v>32</v>
      </c>
      <c r="G31" s="5" t="s">
        <v>33</v>
      </c>
      <c r="H31" s="7">
        <v>19579.25</v>
      </c>
      <c r="K31" s="233">
        <v>19</v>
      </c>
    </row>
    <row r="32" spans="1:11" x14ac:dyDescent="0.25">
      <c r="A32" s="5">
        <v>2</v>
      </c>
      <c r="B32" s="5" t="s">
        <v>9</v>
      </c>
      <c r="C32" s="5">
        <v>4</v>
      </c>
      <c r="D32" s="5">
        <v>7</v>
      </c>
      <c r="E32" s="6">
        <v>45025</v>
      </c>
      <c r="F32" s="5" t="s">
        <v>34</v>
      </c>
      <c r="G32" s="5" t="s">
        <v>35</v>
      </c>
      <c r="H32" s="7">
        <v>34289.019999999997</v>
      </c>
      <c r="K32" s="233">
        <v>19</v>
      </c>
    </row>
    <row r="33" spans="1:11" x14ac:dyDescent="0.25">
      <c r="A33" s="5">
        <v>18</v>
      </c>
      <c r="B33" s="5" t="s">
        <v>15</v>
      </c>
      <c r="C33" s="5">
        <v>4</v>
      </c>
      <c r="D33" s="5">
        <v>56</v>
      </c>
      <c r="E33" s="6">
        <v>45039</v>
      </c>
      <c r="F33" s="5" t="s">
        <v>16</v>
      </c>
      <c r="G33" s="5" t="s">
        <v>36</v>
      </c>
      <c r="H33" s="7">
        <v>380</v>
      </c>
      <c r="K33" s="233">
        <v>19</v>
      </c>
    </row>
    <row r="34" spans="1:11" x14ac:dyDescent="0.25">
      <c r="A34" s="5">
        <v>20</v>
      </c>
      <c r="B34" s="5" t="s">
        <v>15</v>
      </c>
      <c r="C34" s="5">
        <v>4</v>
      </c>
      <c r="D34" s="5">
        <v>62</v>
      </c>
      <c r="E34" s="6">
        <v>45040</v>
      </c>
      <c r="F34" s="5" t="s">
        <v>16</v>
      </c>
      <c r="G34" s="5" t="s">
        <v>36</v>
      </c>
      <c r="H34" s="7">
        <v>114</v>
      </c>
      <c r="K34" s="233">
        <v>2845.5</v>
      </c>
    </row>
    <row r="35" spans="1:11" x14ac:dyDescent="0.25">
      <c r="A35" s="5">
        <v>5</v>
      </c>
      <c r="B35" s="5" t="s">
        <v>9</v>
      </c>
      <c r="C35" s="5">
        <v>4</v>
      </c>
      <c r="D35" s="5">
        <v>12</v>
      </c>
      <c r="E35" s="19">
        <v>45046</v>
      </c>
      <c r="F35" s="8" t="s">
        <v>190</v>
      </c>
      <c r="G35" s="8" t="s">
        <v>169</v>
      </c>
      <c r="H35" s="17">
        <v>1401272.81</v>
      </c>
      <c r="K35" s="233">
        <v>54729</v>
      </c>
    </row>
    <row r="36" spans="1:11" x14ac:dyDescent="0.25">
      <c r="A36" s="5">
        <v>1</v>
      </c>
      <c r="B36" s="5" t="s">
        <v>9</v>
      </c>
      <c r="C36" s="5">
        <v>5</v>
      </c>
      <c r="D36" s="5">
        <v>2</v>
      </c>
      <c r="E36" s="6">
        <v>45050</v>
      </c>
      <c r="F36" s="5" t="s">
        <v>37</v>
      </c>
      <c r="G36" s="5" t="s">
        <v>38</v>
      </c>
      <c r="H36" s="7">
        <v>8701.43</v>
      </c>
      <c r="K36" s="233">
        <v>76</v>
      </c>
    </row>
    <row r="37" spans="1:11" x14ac:dyDescent="0.25">
      <c r="A37" s="5">
        <v>2</v>
      </c>
      <c r="B37" s="5" t="s">
        <v>9</v>
      </c>
      <c r="C37" s="5">
        <v>5</v>
      </c>
      <c r="D37" s="5">
        <v>7</v>
      </c>
      <c r="E37" s="6">
        <v>45050</v>
      </c>
      <c r="F37" s="5" t="s">
        <v>39</v>
      </c>
      <c r="G37" s="5" t="s">
        <v>40</v>
      </c>
      <c r="H37" s="7">
        <v>5130</v>
      </c>
      <c r="K37" s="233">
        <v>14936.55</v>
      </c>
    </row>
    <row r="38" spans="1:11" x14ac:dyDescent="0.25">
      <c r="A38" s="5">
        <v>3</v>
      </c>
      <c r="B38" s="5" t="s">
        <v>9</v>
      </c>
      <c r="C38" s="5">
        <v>5</v>
      </c>
      <c r="D38" s="5">
        <v>11</v>
      </c>
      <c r="E38" s="6">
        <v>45052</v>
      </c>
      <c r="F38" s="5" t="s">
        <v>41</v>
      </c>
      <c r="G38" s="5" t="s">
        <v>42</v>
      </c>
      <c r="H38" s="7">
        <v>19000</v>
      </c>
      <c r="K38" s="233">
        <v>14936.55</v>
      </c>
    </row>
    <row r="39" spans="1:11" x14ac:dyDescent="0.25">
      <c r="A39" s="5">
        <v>9</v>
      </c>
      <c r="B39" s="5" t="s">
        <v>9</v>
      </c>
      <c r="C39" s="5">
        <v>5</v>
      </c>
      <c r="D39" s="5">
        <v>39</v>
      </c>
      <c r="E39" s="6">
        <v>45053</v>
      </c>
      <c r="F39" s="5" t="s">
        <v>43</v>
      </c>
      <c r="G39" s="5" t="s">
        <v>44</v>
      </c>
      <c r="H39" s="7">
        <v>7182</v>
      </c>
      <c r="K39" s="233">
        <v>1305003.77</v>
      </c>
    </row>
    <row r="40" spans="1:11" x14ac:dyDescent="0.25">
      <c r="A40" s="5">
        <v>3</v>
      </c>
      <c r="B40" s="5" t="s">
        <v>15</v>
      </c>
      <c r="C40" s="5">
        <v>5</v>
      </c>
      <c r="D40" s="5">
        <v>7</v>
      </c>
      <c r="E40" s="6">
        <v>45053</v>
      </c>
      <c r="F40" s="5" t="s">
        <v>16</v>
      </c>
      <c r="G40" s="5" t="s">
        <v>45</v>
      </c>
      <c r="H40" s="7">
        <v>19</v>
      </c>
      <c r="K40" s="233">
        <v>19</v>
      </c>
    </row>
    <row r="41" spans="1:11" x14ac:dyDescent="0.25">
      <c r="A41" s="5">
        <v>7</v>
      </c>
      <c r="B41" s="5" t="s">
        <v>15</v>
      </c>
      <c r="C41" s="5">
        <v>5</v>
      </c>
      <c r="D41" s="5">
        <v>19</v>
      </c>
      <c r="E41" s="6">
        <v>45054</v>
      </c>
      <c r="F41" s="5" t="s">
        <v>16</v>
      </c>
      <c r="G41" s="5" t="s">
        <v>45</v>
      </c>
      <c r="H41" s="7">
        <v>19</v>
      </c>
      <c r="K41" s="233">
        <v>273600</v>
      </c>
    </row>
    <row r="42" spans="1:11" x14ac:dyDescent="0.25">
      <c r="A42" s="5">
        <v>12</v>
      </c>
      <c r="B42" s="5" t="s">
        <v>15</v>
      </c>
      <c r="C42" s="5">
        <v>5</v>
      </c>
      <c r="D42" s="5">
        <v>34</v>
      </c>
      <c r="E42" s="6">
        <v>45057</v>
      </c>
      <c r="F42" s="5" t="s">
        <v>16</v>
      </c>
      <c r="G42" s="5" t="s">
        <v>45</v>
      </c>
      <c r="H42" s="7">
        <v>19</v>
      </c>
      <c r="K42" s="233">
        <v>445528.71</v>
      </c>
    </row>
    <row r="43" spans="1:11" x14ac:dyDescent="0.25">
      <c r="A43" s="5">
        <v>4</v>
      </c>
      <c r="B43" s="5" t="s">
        <v>9</v>
      </c>
      <c r="C43" s="5">
        <v>5</v>
      </c>
      <c r="D43" s="5">
        <v>15</v>
      </c>
      <c r="E43" s="6">
        <v>45069</v>
      </c>
      <c r="F43" s="5" t="s">
        <v>46</v>
      </c>
      <c r="G43" s="5" t="s">
        <v>47</v>
      </c>
      <c r="H43" s="7">
        <v>2845.5</v>
      </c>
      <c r="K43" s="233">
        <v>6065839.9199999999</v>
      </c>
    </row>
    <row r="44" spans="1:11" x14ac:dyDescent="0.25">
      <c r="A44" s="5">
        <v>5</v>
      </c>
      <c r="B44" s="5" t="s">
        <v>9</v>
      </c>
      <c r="C44" s="5">
        <v>5</v>
      </c>
      <c r="D44" s="5">
        <v>19</v>
      </c>
      <c r="E44" s="6">
        <v>45069</v>
      </c>
      <c r="F44" s="5" t="s">
        <v>48</v>
      </c>
      <c r="G44" s="5" t="s">
        <v>49</v>
      </c>
      <c r="H44" s="7">
        <v>54729</v>
      </c>
      <c r="K44" s="233">
        <v>108.19</v>
      </c>
    </row>
    <row r="45" spans="1:11" x14ac:dyDescent="0.25">
      <c r="A45" s="5">
        <v>21</v>
      </c>
      <c r="B45" s="5" t="s">
        <v>15</v>
      </c>
      <c r="C45" s="5">
        <v>5</v>
      </c>
      <c r="D45" s="5">
        <v>61</v>
      </c>
      <c r="E45" s="6">
        <v>45070</v>
      </c>
      <c r="F45" s="5" t="s">
        <v>16</v>
      </c>
      <c r="G45" s="5" t="s">
        <v>45</v>
      </c>
      <c r="H45" s="7">
        <v>76</v>
      </c>
      <c r="K45" s="233">
        <v>282.51</v>
      </c>
    </row>
    <row r="46" spans="1:11" x14ac:dyDescent="0.25">
      <c r="A46" s="5"/>
      <c r="B46" s="5"/>
      <c r="C46" s="5"/>
      <c r="D46" s="5"/>
      <c r="E46" s="5"/>
      <c r="F46" s="5"/>
      <c r="G46" s="5"/>
      <c r="H46" s="5"/>
      <c r="K46" s="233">
        <v>108.19</v>
      </c>
    </row>
    <row r="47" spans="1:11" x14ac:dyDescent="0.25">
      <c r="A47" s="5">
        <v>3</v>
      </c>
      <c r="B47" s="5" t="s">
        <v>9</v>
      </c>
      <c r="C47" s="5">
        <v>1</v>
      </c>
      <c r="D47" s="5">
        <v>10</v>
      </c>
      <c r="E47" s="6">
        <v>45077</v>
      </c>
      <c r="F47" s="5" t="s">
        <v>51</v>
      </c>
      <c r="G47" s="5" t="s">
        <v>14</v>
      </c>
      <c r="H47" s="7">
        <v>14936.55</v>
      </c>
      <c r="K47" s="233">
        <v>309.02999999999997</v>
      </c>
    </row>
    <row r="48" spans="1:11" x14ac:dyDescent="0.25">
      <c r="A48" s="5">
        <v>13</v>
      </c>
      <c r="B48" s="5" t="s">
        <v>9</v>
      </c>
      <c r="C48" s="5">
        <v>5</v>
      </c>
      <c r="D48" s="5">
        <v>44</v>
      </c>
      <c r="E48" s="19">
        <v>45077</v>
      </c>
      <c r="F48" s="8" t="s">
        <v>191</v>
      </c>
      <c r="G48" s="8" t="s">
        <v>170</v>
      </c>
      <c r="H48" s="17">
        <v>1305003.77</v>
      </c>
      <c r="K48" s="233">
        <v>108.19</v>
      </c>
    </row>
    <row r="49" spans="1:11" x14ac:dyDescent="0.25">
      <c r="A49" s="5">
        <v>24</v>
      </c>
      <c r="B49" s="5" t="s">
        <v>15</v>
      </c>
      <c r="C49" s="5">
        <v>5</v>
      </c>
      <c r="D49" s="5">
        <v>70</v>
      </c>
      <c r="E49" s="6">
        <v>45077</v>
      </c>
      <c r="F49" s="5" t="s">
        <v>16</v>
      </c>
      <c r="G49" s="5" t="s">
        <v>45</v>
      </c>
      <c r="H49" s="7">
        <v>19</v>
      </c>
      <c r="K49" s="233">
        <v>3875.71</v>
      </c>
    </row>
    <row r="50" spans="1:11" x14ac:dyDescent="0.25">
      <c r="A50" s="5">
        <v>6</v>
      </c>
      <c r="B50" s="5" t="s">
        <v>9</v>
      </c>
      <c r="C50" s="5">
        <v>5</v>
      </c>
      <c r="D50" s="5">
        <v>23</v>
      </c>
      <c r="E50" s="6">
        <v>45092</v>
      </c>
      <c r="F50" s="5" t="s">
        <v>16</v>
      </c>
      <c r="G50" s="5" t="s">
        <v>52</v>
      </c>
      <c r="H50" s="7">
        <v>273600</v>
      </c>
      <c r="K50" s="233">
        <v>108.19</v>
      </c>
    </row>
    <row r="51" spans="1:11" x14ac:dyDescent="0.25">
      <c r="A51" s="5">
        <v>41</v>
      </c>
      <c r="B51" s="5" t="s">
        <v>53</v>
      </c>
      <c r="C51" s="5">
        <v>6</v>
      </c>
      <c r="D51" s="5">
        <v>51</v>
      </c>
      <c r="E51" s="6">
        <v>45103</v>
      </c>
      <c r="F51" s="8" t="s">
        <v>199</v>
      </c>
      <c r="G51" s="8" t="s">
        <v>198</v>
      </c>
      <c r="H51" s="7">
        <v>445528.71</v>
      </c>
      <c r="K51" s="233">
        <v>332.8</v>
      </c>
    </row>
    <row r="52" spans="1:11" x14ac:dyDescent="0.25">
      <c r="A52" s="5">
        <v>1</v>
      </c>
      <c r="B52" s="5" t="s">
        <v>9</v>
      </c>
      <c r="C52" s="5">
        <v>6</v>
      </c>
      <c r="D52" s="5">
        <v>2</v>
      </c>
      <c r="E52" s="19">
        <v>45107</v>
      </c>
      <c r="F52" s="8" t="s">
        <v>192</v>
      </c>
      <c r="G52" s="8" t="s">
        <v>171</v>
      </c>
      <c r="H52" s="7">
        <v>6065839.9199999999</v>
      </c>
      <c r="I52" s="3">
        <v>2683748.52</v>
      </c>
      <c r="J52" t="s">
        <v>253</v>
      </c>
      <c r="K52" s="233">
        <v>14.78</v>
      </c>
    </row>
    <row r="53" spans="1:11" x14ac:dyDescent="0.25">
      <c r="A53" s="5">
        <v>20</v>
      </c>
      <c r="B53" s="5" t="s">
        <v>53</v>
      </c>
      <c r="C53" s="5">
        <v>7</v>
      </c>
      <c r="D53" s="5">
        <v>71</v>
      </c>
      <c r="E53" s="6">
        <v>45119</v>
      </c>
      <c r="F53" s="5">
        <v>561230413722</v>
      </c>
      <c r="G53" s="5" t="s">
        <v>54</v>
      </c>
      <c r="H53" s="7">
        <v>108.19</v>
      </c>
      <c r="K53" s="233">
        <v>1856898.87</v>
      </c>
    </row>
    <row r="54" spans="1:11" x14ac:dyDescent="0.25">
      <c r="A54" s="5">
        <v>20</v>
      </c>
      <c r="B54" s="5" t="s">
        <v>53</v>
      </c>
      <c r="C54" s="5">
        <v>7</v>
      </c>
      <c r="D54" s="5">
        <v>72</v>
      </c>
      <c r="E54" s="6">
        <v>45119</v>
      </c>
      <c r="F54" s="5">
        <v>561230413722</v>
      </c>
      <c r="G54" s="5" t="s">
        <v>54</v>
      </c>
      <c r="H54" s="7">
        <v>282.51</v>
      </c>
      <c r="K54" s="233">
        <v>17251.68</v>
      </c>
    </row>
    <row r="55" spans="1:11" x14ac:dyDescent="0.25">
      <c r="A55" s="5">
        <v>21</v>
      </c>
      <c r="B55" s="5" t="s">
        <v>53</v>
      </c>
      <c r="C55" s="5">
        <v>7</v>
      </c>
      <c r="D55" s="5">
        <v>76</v>
      </c>
      <c r="E55" s="6">
        <v>45119</v>
      </c>
      <c r="F55" s="5">
        <v>561230413787</v>
      </c>
      <c r="G55" s="5" t="s">
        <v>54</v>
      </c>
      <c r="H55" s="7">
        <v>108.19</v>
      </c>
      <c r="K55" s="233">
        <v>1794815.87</v>
      </c>
    </row>
    <row r="56" spans="1:11" x14ac:dyDescent="0.25">
      <c r="A56" s="5">
        <v>21</v>
      </c>
      <c r="B56" s="5" t="s">
        <v>53</v>
      </c>
      <c r="C56" s="5">
        <v>7</v>
      </c>
      <c r="D56" s="5">
        <v>77</v>
      </c>
      <c r="E56" s="6">
        <v>45119</v>
      </c>
      <c r="F56" s="5">
        <v>561230413787</v>
      </c>
      <c r="G56" s="5" t="s">
        <v>54</v>
      </c>
      <c r="H56" s="7">
        <v>309.02999999999997</v>
      </c>
      <c r="K56" s="233">
        <v>19</v>
      </c>
    </row>
    <row r="57" spans="1:11" x14ac:dyDescent="0.25">
      <c r="A57" s="5">
        <v>22</v>
      </c>
      <c r="B57" s="5" t="s">
        <v>53</v>
      </c>
      <c r="C57" s="5">
        <v>7</v>
      </c>
      <c r="D57" s="5">
        <v>81</v>
      </c>
      <c r="E57" s="6">
        <v>45119</v>
      </c>
      <c r="F57" s="5">
        <v>561230413721</v>
      </c>
      <c r="G57" s="5" t="s">
        <v>54</v>
      </c>
      <c r="H57" s="7">
        <v>108.19</v>
      </c>
      <c r="K57" s="233">
        <v>5380904.6500000004</v>
      </c>
    </row>
    <row r="58" spans="1:11" x14ac:dyDescent="0.25">
      <c r="A58" s="5">
        <v>22</v>
      </c>
      <c r="B58" s="5" t="s">
        <v>53</v>
      </c>
      <c r="C58" s="5">
        <v>7</v>
      </c>
      <c r="D58" s="5">
        <v>82</v>
      </c>
      <c r="E58" s="6">
        <v>45119</v>
      </c>
      <c r="F58" s="5">
        <v>561230413721</v>
      </c>
      <c r="G58" s="5" t="s">
        <v>54</v>
      </c>
      <c r="H58" s="7">
        <v>3875.71</v>
      </c>
      <c r="K58" s="233">
        <v>19</v>
      </c>
    </row>
    <row r="59" spans="1:11" x14ac:dyDescent="0.25">
      <c r="A59" s="5">
        <v>23</v>
      </c>
      <c r="B59" s="5" t="s">
        <v>53</v>
      </c>
      <c r="C59" s="5">
        <v>7</v>
      </c>
      <c r="D59" s="5">
        <v>86</v>
      </c>
      <c r="E59" s="6">
        <v>45119</v>
      </c>
      <c r="F59" s="5">
        <v>561230413787</v>
      </c>
      <c r="G59" s="5" t="s">
        <v>54</v>
      </c>
      <c r="H59" s="7">
        <v>108.19</v>
      </c>
      <c r="K59" s="233">
        <v>19</v>
      </c>
    </row>
    <row r="60" spans="1:11" x14ac:dyDescent="0.25">
      <c r="A60" s="5">
        <v>23</v>
      </c>
      <c r="B60" s="5" t="s">
        <v>53</v>
      </c>
      <c r="C60" s="5">
        <v>7</v>
      </c>
      <c r="D60" s="5">
        <v>87</v>
      </c>
      <c r="E60" s="6">
        <v>45119</v>
      </c>
      <c r="F60" s="5">
        <v>561230413787</v>
      </c>
      <c r="G60" s="5" t="s">
        <v>54</v>
      </c>
      <c r="H60" s="7">
        <v>332.8</v>
      </c>
      <c r="K60" s="233">
        <v>19</v>
      </c>
    </row>
    <row r="61" spans="1:11" x14ac:dyDescent="0.25">
      <c r="A61" s="5">
        <v>24</v>
      </c>
      <c r="B61" s="5" t="s">
        <v>53</v>
      </c>
      <c r="C61" s="5">
        <v>7</v>
      </c>
      <c r="D61" s="5">
        <v>91</v>
      </c>
      <c r="E61" s="6">
        <v>45119</v>
      </c>
      <c r="F61" s="5">
        <v>561230413765</v>
      </c>
      <c r="G61" s="5" t="s">
        <v>54</v>
      </c>
      <c r="H61" s="7">
        <v>14.78</v>
      </c>
      <c r="K61" s="233">
        <v>19</v>
      </c>
    </row>
    <row r="62" spans="1:11" x14ac:dyDescent="0.25">
      <c r="A62" s="5">
        <v>4</v>
      </c>
      <c r="B62" s="5" t="s">
        <v>9</v>
      </c>
      <c r="C62" s="5">
        <v>12</v>
      </c>
      <c r="D62" s="5">
        <v>16</v>
      </c>
      <c r="E62" s="6">
        <v>45137</v>
      </c>
      <c r="F62" s="5" t="s">
        <v>55</v>
      </c>
      <c r="G62" s="5" t="s">
        <v>56</v>
      </c>
      <c r="H62" s="7">
        <v>1856898.87</v>
      </c>
      <c r="K62" s="233">
        <v>19</v>
      </c>
    </row>
    <row r="63" spans="1:11" x14ac:dyDescent="0.25">
      <c r="A63" s="5">
        <v>5</v>
      </c>
      <c r="B63" s="5" t="s">
        <v>9</v>
      </c>
      <c r="C63" s="5">
        <v>1</v>
      </c>
      <c r="D63" s="5">
        <v>18</v>
      </c>
      <c r="E63" s="6">
        <v>45138</v>
      </c>
      <c r="F63" s="5" t="s">
        <v>57</v>
      </c>
      <c r="G63" s="5" t="s">
        <v>14</v>
      </c>
      <c r="H63" s="7">
        <v>17251.68</v>
      </c>
      <c r="K63" s="233">
        <v>19</v>
      </c>
    </row>
    <row r="64" spans="1:11" x14ac:dyDescent="0.25">
      <c r="A64" s="5">
        <v>2</v>
      </c>
      <c r="B64" s="5" t="s">
        <v>9</v>
      </c>
      <c r="C64" s="5">
        <v>7</v>
      </c>
      <c r="D64" s="5">
        <v>4</v>
      </c>
      <c r="E64" s="19">
        <v>45138</v>
      </c>
      <c r="F64" s="8" t="s">
        <v>193</v>
      </c>
      <c r="G64" s="8" t="s">
        <v>172</v>
      </c>
      <c r="H64" s="7">
        <v>1794815.87</v>
      </c>
      <c r="I64" s="3">
        <v>796670.23</v>
      </c>
      <c r="J64" t="s">
        <v>253</v>
      </c>
      <c r="K64" s="233">
        <v>19</v>
      </c>
    </row>
    <row r="65" spans="1:13" x14ac:dyDescent="0.25">
      <c r="A65" s="5">
        <v>31</v>
      </c>
      <c r="B65" s="5" t="s">
        <v>15</v>
      </c>
      <c r="C65" s="5">
        <v>8</v>
      </c>
      <c r="D65" s="5">
        <v>98</v>
      </c>
      <c r="E65" s="6">
        <v>45167</v>
      </c>
      <c r="F65" s="5" t="s">
        <v>16</v>
      </c>
      <c r="G65" s="5" t="s">
        <v>17</v>
      </c>
      <c r="H65" s="7">
        <v>19</v>
      </c>
      <c r="K65" s="233">
        <v>28.5</v>
      </c>
    </row>
    <row r="66" spans="1:13" x14ac:dyDescent="0.25">
      <c r="A66" s="5">
        <v>1</v>
      </c>
      <c r="B66" s="5" t="s">
        <v>9</v>
      </c>
      <c r="C66" s="5">
        <v>8</v>
      </c>
      <c r="D66" s="5">
        <v>2</v>
      </c>
      <c r="E66" s="19">
        <v>45169</v>
      </c>
      <c r="F66" s="8" t="s">
        <v>194</v>
      </c>
      <c r="G66" s="8" t="s">
        <v>173</v>
      </c>
      <c r="H66" s="7">
        <v>5380904.6500000004</v>
      </c>
      <c r="I66" s="3">
        <v>2371869.69</v>
      </c>
      <c r="J66" t="s">
        <v>253</v>
      </c>
      <c r="K66" s="233">
        <v>28.5</v>
      </c>
    </row>
    <row r="67" spans="1:13" x14ac:dyDescent="0.25">
      <c r="A67" s="5">
        <v>34</v>
      </c>
      <c r="B67" s="5" t="s">
        <v>15</v>
      </c>
      <c r="C67" s="5">
        <v>8</v>
      </c>
      <c r="D67" s="5">
        <v>108</v>
      </c>
      <c r="E67" s="6">
        <v>45169</v>
      </c>
      <c r="F67" s="5" t="s">
        <v>16</v>
      </c>
      <c r="G67" s="5" t="s">
        <v>17</v>
      </c>
      <c r="H67" s="7">
        <v>19</v>
      </c>
      <c r="K67" s="233">
        <v>3930042.87</v>
      </c>
    </row>
    <row r="68" spans="1:13" x14ac:dyDescent="0.25">
      <c r="A68" s="5">
        <v>1</v>
      </c>
      <c r="B68" s="5" t="s">
        <v>15</v>
      </c>
      <c r="C68" s="5">
        <v>9</v>
      </c>
      <c r="D68" s="5">
        <v>2</v>
      </c>
      <c r="E68" s="6">
        <v>45180</v>
      </c>
      <c r="F68" s="5" t="s">
        <v>16</v>
      </c>
      <c r="G68" s="5" t="s">
        <v>17</v>
      </c>
      <c r="H68" s="7">
        <v>19</v>
      </c>
      <c r="K68" s="233">
        <v>12559.68</v>
      </c>
    </row>
    <row r="69" spans="1:13" x14ac:dyDescent="0.25">
      <c r="A69" s="5">
        <v>16</v>
      </c>
      <c r="B69" s="5" t="s">
        <v>15</v>
      </c>
      <c r="C69" s="5">
        <v>9</v>
      </c>
      <c r="D69" s="5">
        <v>53</v>
      </c>
      <c r="E69" s="6">
        <v>45180</v>
      </c>
      <c r="F69" s="5" t="s">
        <v>16</v>
      </c>
      <c r="G69" s="5" t="s">
        <v>17</v>
      </c>
      <c r="H69" s="7">
        <v>19</v>
      </c>
      <c r="K69" s="233">
        <v>212385.35</v>
      </c>
    </row>
    <row r="70" spans="1:13" x14ac:dyDescent="0.25">
      <c r="A70" s="5">
        <v>2</v>
      </c>
      <c r="B70" s="5" t="s">
        <v>15</v>
      </c>
      <c r="C70" s="5">
        <v>9</v>
      </c>
      <c r="D70" s="5">
        <v>6</v>
      </c>
      <c r="E70" s="6">
        <v>45181</v>
      </c>
      <c r="F70" s="5" t="s">
        <v>16</v>
      </c>
      <c r="G70" s="5" t="s">
        <v>17</v>
      </c>
      <c r="H70" s="7">
        <v>19</v>
      </c>
      <c r="K70" s="233">
        <v>968701.03</v>
      </c>
    </row>
    <row r="71" spans="1:13" x14ac:dyDescent="0.25">
      <c r="A71" s="5">
        <v>18</v>
      </c>
      <c r="B71" s="5" t="s">
        <v>15</v>
      </c>
      <c r="C71" s="5">
        <v>9</v>
      </c>
      <c r="D71" s="5">
        <v>60</v>
      </c>
      <c r="E71" s="6">
        <v>45181</v>
      </c>
      <c r="F71" s="5" t="s">
        <v>16</v>
      </c>
      <c r="G71" s="5" t="s">
        <v>17</v>
      </c>
      <c r="H71" s="7">
        <v>19</v>
      </c>
      <c r="K71" s="233">
        <v>252778.58</v>
      </c>
    </row>
    <row r="72" spans="1:13" x14ac:dyDescent="0.25">
      <c r="A72" s="5">
        <v>3</v>
      </c>
      <c r="B72" s="5" t="s">
        <v>15</v>
      </c>
      <c r="C72" s="5">
        <v>9</v>
      </c>
      <c r="D72" s="5">
        <v>10</v>
      </c>
      <c r="E72" s="6">
        <v>45182</v>
      </c>
      <c r="F72" s="5" t="s">
        <v>16</v>
      </c>
      <c r="G72" s="5" t="s">
        <v>17</v>
      </c>
      <c r="H72" s="7">
        <v>19</v>
      </c>
      <c r="K72" s="233">
        <v>233840.26</v>
      </c>
    </row>
    <row r="73" spans="1:13" x14ac:dyDescent="0.25">
      <c r="A73" s="5">
        <v>19</v>
      </c>
      <c r="B73" s="5" t="s">
        <v>15</v>
      </c>
      <c r="C73" s="5">
        <v>9</v>
      </c>
      <c r="D73" s="5">
        <v>65</v>
      </c>
      <c r="E73" s="6">
        <v>45182</v>
      </c>
      <c r="F73" s="5" t="s">
        <v>16</v>
      </c>
      <c r="G73" s="5" t="s">
        <v>17</v>
      </c>
      <c r="H73" s="7">
        <v>19</v>
      </c>
      <c r="K73" s="233">
        <v>277251.53999999998</v>
      </c>
    </row>
    <row r="74" spans="1:13" x14ac:dyDescent="0.25">
      <c r="A74" s="5">
        <v>5</v>
      </c>
      <c r="B74" s="5" t="s">
        <v>15</v>
      </c>
      <c r="C74" s="5">
        <v>9</v>
      </c>
      <c r="D74" s="5">
        <v>15</v>
      </c>
      <c r="E74" s="6">
        <v>45183</v>
      </c>
      <c r="F74" s="5" t="s">
        <v>16</v>
      </c>
      <c r="G74" s="5" t="s">
        <v>17</v>
      </c>
      <c r="H74" s="7">
        <v>28.5</v>
      </c>
      <c r="K74" s="233">
        <v>355583.3</v>
      </c>
    </row>
    <row r="75" spans="1:13" x14ac:dyDescent="0.25">
      <c r="A75" s="5">
        <v>20</v>
      </c>
      <c r="B75" s="5" t="s">
        <v>15</v>
      </c>
      <c r="C75" s="5">
        <v>9</v>
      </c>
      <c r="D75" s="5">
        <v>70</v>
      </c>
      <c r="E75" s="6">
        <v>45183</v>
      </c>
      <c r="F75" s="5" t="s">
        <v>16</v>
      </c>
      <c r="G75" s="5" t="s">
        <v>17</v>
      </c>
      <c r="H75" s="7">
        <v>28.5</v>
      </c>
      <c r="K75" s="233">
        <v>313246.71000000002</v>
      </c>
    </row>
    <row r="76" spans="1:13" x14ac:dyDescent="0.25">
      <c r="A76" s="5">
        <v>2</v>
      </c>
      <c r="B76" s="5" t="s">
        <v>9</v>
      </c>
      <c r="C76" s="5">
        <v>9</v>
      </c>
      <c r="D76" s="5">
        <v>5</v>
      </c>
      <c r="E76" s="19">
        <v>45199</v>
      </c>
      <c r="F76" s="8" t="s">
        <v>195</v>
      </c>
      <c r="G76" s="8" t="s">
        <v>174</v>
      </c>
      <c r="H76" s="7">
        <v>3930042.87</v>
      </c>
      <c r="I76" s="3">
        <v>1712353.95</v>
      </c>
      <c r="J76" t="s">
        <v>253</v>
      </c>
      <c r="K76" s="233">
        <v>548554.93000000005</v>
      </c>
      <c r="M76" s="67">
        <f>H64+H66+H76+H91+H104+H52</f>
        <v>26133491.130000003</v>
      </c>
    </row>
    <row r="77" spans="1:13" x14ac:dyDescent="0.25">
      <c r="A77" s="5">
        <v>1</v>
      </c>
      <c r="B77" s="5" t="s">
        <v>58</v>
      </c>
      <c r="C77" s="5">
        <v>10</v>
      </c>
      <c r="D77" s="5">
        <v>2</v>
      </c>
      <c r="E77" s="6">
        <v>45200</v>
      </c>
      <c r="F77" s="5" t="s">
        <v>59</v>
      </c>
      <c r="G77" s="5" t="s">
        <v>60</v>
      </c>
      <c r="H77" s="7">
        <v>12559.68</v>
      </c>
      <c r="K77" s="233">
        <v>319339.84000000003</v>
      </c>
      <c r="M77" s="67">
        <f>I76+I91+I104+I66+I64+I52</f>
        <v>11456563.91</v>
      </c>
    </row>
    <row r="78" spans="1:13" x14ac:dyDescent="0.25">
      <c r="A78" s="5">
        <v>1</v>
      </c>
      <c r="B78" s="5" t="s">
        <v>9</v>
      </c>
      <c r="C78" s="5">
        <v>10</v>
      </c>
      <c r="D78" s="5">
        <v>2</v>
      </c>
      <c r="E78" s="6">
        <v>45208</v>
      </c>
      <c r="F78" s="5" t="s">
        <v>61</v>
      </c>
      <c r="G78" s="5" t="s">
        <v>62</v>
      </c>
      <c r="H78" s="7">
        <v>212385.35</v>
      </c>
      <c r="K78" s="233">
        <v>140083.20000000001</v>
      </c>
      <c r="M78" s="67">
        <f>M76-M77</f>
        <v>14676927.220000003</v>
      </c>
    </row>
    <row r="79" spans="1:13" x14ac:dyDescent="0.25">
      <c r="A79" s="5">
        <v>3</v>
      </c>
      <c r="B79" s="5" t="s">
        <v>9</v>
      </c>
      <c r="C79" s="5">
        <v>12</v>
      </c>
      <c r="D79" s="5">
        <v>11</v>
      </c>
      <c r="E79" s="6">
        <v>45217</v>
      </c>
      <c r="F79" s="5" t="s">
        <v>63</v>
      </c>
      <c r="G79" s="5" t="s">
        <v>64</v>
      </c>
      <c r="H79" s="7">
        <v>968701.03</v>
      </c>
      <c r="K79" s="233">
        <v>177837.03</v>
      </c>
    </row>
    <row r="80" spans="1:13" x14ac:dyDescent="0.25">
      <c r="A80" s="5">
        <v>6</v>
      </c>
      <c r="B80" s="5" t="s">
        <v>9</v>
      </c>
      <c r="C80" s="5">
        <v>11</v>
      </c>
      <c r="D80" s="5">
        <v>24</v>
      </c>
      <c r="E80" s="6">
        <v>45218</v>
      </c>
      <c r="F80" s="5" t="s">
        <v>65</v>
      </c>
      <c r="G80" s="8" t="s">
        <v>156</v>
      </c>
      <c r="H80" s="7">
        <v>252778.58</v>
      </c>
      <c r="K80" s="233">
        <v>31248</v>
      </c>
    </row>
    <row r="81" spans="1:11" x14ac:dyDescent="0.25">
      <c r="A81" s="5">
        <v>7</v>
      </c>
      <c r="B81" s="5" t="s">
        <v>9</v>
      </c>
      <c r="C81" s="5">
        <v>11</v>
      </c>
      <c r="D81" s="5">
        <v>28</v>
      </c>
      <c r="E81" s="6">
        <v>45218</v>
      </c>
      <c r="F81" s="5" t="s">
        <v>67</v>
      </c>
      <c r="G81" s="8" t="s">
        <v>156</v>
      </c>
      <c r="H81" s="7">
        <v>233840.26</v>
      </c>
      <c r="K81" s="233">
        <v>189762.5</v>
      </c>
    </row>
    <row r="82" spans="1:11" x14ac:dyDescent="0.25">
      <c r="A82" s="5">
        <v>6</v>
      </c>
      <c r="B82" s="5" t="s">
        <v>9</v>
      </c>
      <c r="C82" s="5">
        <v>12</v>
      </c>
      <c r="D82" s="5">
        <v>23</v>
      </c>
      <c r="E82" s="6">
        <v>45222</v>
      </c>
      <c r="F82" s="5" t="s">
        <v>68</v>
      </c>
      <c r="G82" s="5" t="s">
        <v>69</v>
      </c>
      <c r="H82" s="7">
        <v>277251.53999999998</v>
      </c>
      <c r="K82" s="233">
        <v>4176330.32</v>
      </c>
    </row>
    <row r="83" spans="1:11" x14ac:dyDescent="0.25">
      <c r="A83" s="5">
        <v>7</v>
      </c>
      <c r="B83" s="5" t="s">
        <v>9</v>
      </c>
      <c r="C83" s="5">
        <v>12</v>
      </c>
      <c r="D83" s="5">
        <v>28</v>
      </c>
      <c r="E83" s="6">
        <v>45222</v>
      </c>
      <c r="F83" s="5" t="s">
        <v>70</v>
      </c>
      <c r="G83" s="5" t="s">
        <v>69</v>
      </c>
      <c r="H83" s="7">
        <v>355583.3</v>
      </c>
      <c r="K83" s="233">
        <v>344439.82</v>
      </c>
    </row>
    <row r="84" spans="1:11" x14ac:dyDescent="0.25">
      <c r="A84" s="5">
        <v>8</v>
      </c>
      <c r="B84" s="5" t="s">
        <v>9</v>
      </c>
      <c r="C84" s="5">
        <v>12</v>
      </c>
      <c r="D84" s="5">
        <v>33</v>
      </c>
      <c r="E84" s="6">
        <v>45224</v>
      </c>
      <c r="F84" s="5" t="s">
        <v>71</v>
      </c>
      <c r="G84" s="5" t="s">
        <v>69</v>
      </c>
      <c r="H84" s="7">
        <v>313246.71000000002</v>
      </c>
      <c r="K84" s="233">
        <v>1276800</v>
      </c>
    </row>
    <row r="85" spans="1:11" x14ac:dyDescent="0.25">
      <c r="A85" s="5">
        <v>14</v>
      </c>
      <c r="B85" s="5" t="s">
        <v>9</v>
      </c>
      <c r="C85" s="5">
        <v>10</v>
      </c>
      <c r="D85" s="5">
        <v>64</v>
      </c>
      <c r="E85" s="6">
        <v>45224</v>
      </c>
      <c r="F85" s="5" t="s">
        <v>16</v>
      </c>
      <c r="G85" s="5" t="s">
        <v>30</v>
      </c>
      <c r="H85" s="7">
        <v>548554.93000000005</v>
      </c>
      <c r="K85" s="233">
        <v>83277</v>
      </c>
    </row>
    <row r="86" spans="1:11" x14ac:dyDescent="0.25">
      <c r="A86" s="5">
        <v>3</v>
      </c>
      <c r="B86" s="5" t="s">
        <v>9</v>
      </c>
      <c r="C86" s="5">
        <v>10</v>
      </c>
      <c r="D86" s="5">
        <v>10</v>
      </c>
      <c r="E86" s="6">
        <v>45225</v>
      </c>
      <c r="F86" s="5" t="s">
        <v>72</v>
      </c>
      <c r="G86" s="5" t="s">
        <v>62</v>
      </c>
      <c r="H86" s="7">
        <v>319339.84000000003</v>
      </c>
      <c r="K86" s="233">
        <v>83277</v>
      </c>
    </row>
    <row r="87" spans="1:11" x14ac:dyDescent="0.25">
      <c r="A87" s="5">
        <v>11</v>
      </c>
      <c r="B87" s="5" t="s">
        <v>9</v>
      </c>
      <c r="C87" s="5">
        <v>10</v>
      </c>
      <c r="D87" s="5">
        <v>48</v>
      </c>
      <c r="E87" s="6">
        <v>45229</v>
      </c>
      <c r="F87" s="5" t="s">
        <v>73</v>
      </c>
      <c r="G87" s="5" t="s">
        <v>74</v>
      </c>
      <c r="H87" s="7">
        <v>140083.20000000001</v>
      </c>
      <c r="K87" s="233">
        <v>31248</v>
      </c>
    </row>
    <row r="88" spans="1:11" x14ac:dyDescent="0.25">
      <c r="A88" s="5">
        <v>12</v>
      </c>
      <c r="B88" s="5" t="s">
        <v>9</v>
      </c>
      <c r="C88" s="5">
        <v>10</v>
      </c>
      <c r="D88" s="5">
        <v>52</v>
      </c>
      <c r="E88" s="6">
        <v>45229</v>
      </c>
      <c r="F88" s="5" t="s">
        <v>75</v>
      </c>
      <c r="G88" s="5" t="s">
        <v>76</v>
      </c>
      <c r="H88" s="7">
        <v>177837.03</v>
      </c>
      <c r="K88" s="233">
        <v>275756.38</v>
      </c>
    </row>
    <row r="89" spans="1:11" x14ac:dyDescent="0.25">
      <c r="A89" s="5">
        <v>13</v>
      </c>
      <c r="B89" s="5" t="s">
        <v>9</v>
      </c>
      <c r="C89" s="5">
        <v>10</v>
      </c>
      <c r="D89" s="5">
        <v>58</v>
      </c>
      <c r="E89" s="6">
        <v>45229</v>
      </c>
      <c r="F89" s="5" t="s">
        <v>77</v>
      </c>
      <c r="G89" s="5" t="s">
        <v>66</v>
      </c>
      <c r="H89" s="7">
        <v>31248</v>
      </c>
      <c r="K89" s="233">
        <v>175043.63</v>
      </c>
    </row>
    <row r="90" spans="1:11" x14ac:dyDescent="0.25">
      <c r="A90" s="5">
        <v>9</v>
      </c>
      <c r="B90" s="5" t="s">
        <v>9</v>
      </c>
      <c r="C90" s="5">
        <v>10</v>
      </c>
      <c r="D90" s="5">
        <v>40</v>
      </c>
      <c r="E90" s="6">
        <v>45230</v>
      </c>
      <c r="F90" s="5" t="s">
        <v>23</v>
      </c>
      <c r="G90" s="5" t="s">
        <v>78</v>
      </c>
      <c r="H90" s="7">
        <v>189762.5</v>
      </c>
      <c r="K90" s="233">
        <v>167472.44</v>
      </c>
    </row>
    <row r="91" spans="1:11" x14ac:dyDescent="0.25">
      <c r="A91" s="5">
        <v>15</v>
      </c>
      <c r="B91" s="5" t="s">
        <v>9</v>
      </c>
      <c r="C91" s="5">
        <v>10</v>
      </c>
      <c r="D91" s="5">
        <v>68</v>
      </c>
      <c r="E91" s="19">
        <v>45230</v>
      </c>
      <c r="F91" s="8" t="s">
        <v>196</v>
      </c>
      <c r="G91" s="8" t="s">
        <v>175</v>
      </c>
      <c r="H91" s="7">
        <v>4176330.32</v>
      </c>
      <c r="I91" s="3">
        <v>1814919.1</v>
      </c>
      <c r="J91" t="s">
        <v>253</v>
      </c>
      <c r="K91" s="233">
        <v>319328.46000000002</v>
      </c>
    </row>
    <row r="92" spans="1:11" x14ac:dyDescent="0.25">
      <c r="A92" s="5">
        <v>10</v>
      </c>
      <c r="B92" s="5" t="s">
        <v>9</v>
      </c>
      <c r="C92" s="5">
        <v>12</v>
      </c>
      <c r="D92" s="5">
        <v>44</v>
      </c>
      <c r="E92" s="6">
        <v>45234</v>
      </c>
      <c r="F92" s="5" t="s">
        <v>79</v>
      </c>
      <c r="G92" s="5" t="s">
        <v>80</v>
      </c>
      <c r="H92" s="7">
        <v>344439.82</v>
      </c>
      <c r="K92" s="233">
        <v>425025.21</v>
      </c>
    </row>
    <row r="93" spans="1:11" x14ac:dyDescent="0.25">
      <c r="A93" s="5">
        <v>8</v>
      </c>
      <c r="B93" s="5" t="s">
        <v>9</v>
      </c>
      <c r="C93" s="5">
        <v>11</v>
      </c>
      <c r="D93" s="5">
        <v>32</v>
      </c>
      <c r="E93" s="6">
        <v>45235</v>
      </c>
      <c r="F93" s="5" t="s">
        <v>81</v>
      </c>
      <c r="G93" s="5" t="s">
        <v>82</v>
      </c>
      <c r="H93" s="7">
        <v>1276800</v>
      </c>
      <c r="K93" s="233">
        <v>387344.54</v>
      </c>
    </row>
    <row r="94" spans="1:11" x14ac:dyDescent="0.25">
      <c r="A94" s="5">
        <v>2</v>
      </c>
      <c r="B94" s="5" t="s">
        <v>9</v>
      </c>
      <c r="C94" s="5">
        <v>11</v>
      </c>
      <c r="D94" s="5">
        <v>6</v>
      </c>
      <c r="E94" s="6">
        <v>45237</v>
      </c>
      <c r="F94" s="5" t="s">
        <v>83</v>
      </c>
      <c r="G94" s="5" t="s">
        <v>84</v>
      </c>
      <c r="H94" s="7">
        <v>83277</v>
      </c>
      <c r="K94" s="233">
        <v>522743.05</v>
      </c>
    </row>
    <row r="95" spans="1:11" x14ac:dyDescent="0.25">
      <c r="A95" s="5">
        <v>3</v>
      </c>
      <c r="B95" s="5" t="s">
        <v>9</v>
      </c>
      <c r="C95" s="5">
        <v>11</v>
      </c>
      <c r="D95" s="5">
        <v>11</v>
      </c>
      <c r="E95" s="6">
        <v>45237</v>
      </c>
      <c r="F95" s="5" t="s">
        <v>85</v>
      </c>
      <c r="G95" s="5" t="s">
        <v>84</v>
      </c>
      <c r="H95" s="7">
        <v>83277</v>
      </c>
      <c r="K95" s="233">
        <v>4785557.5</v>
      </c>
    </row>
    <row r="96" spans="1:11" x14ac:dyDescent="0.25">
      <c r="A96" s="5">
        <v>5</v>
      </c>
      <c r="B96" s="5" t="s">
        <v>9</v>
      </c>
      <c r="C96" s="5">
        <v>11</v>
      </c>
      <c r="D96" s="5">
        <v>20</v>
      </c>
      <c r="E96" s="6">
        <v>45237</v>
      </c>
      <c r="F96" s="5" t="s">
        <v>77</v>
      </c>
      <c r="G96" s="8" t="s">
        <v>156</v>
      </c>
      <c r="H96" s="7">
        <v>31248</v>
      </c>
      <c r="K96" s="233">
        <v>72200</v>
      </c>
    </row>
    <row r="97" spans="1:11" x14ac:dyDescent="0.25">
      <c r="A97" s="5">
        <v>8</v>
      </c>
      <c r="B97" s="5" t="s">
        <v>9</v>
      </c>
      <c r="C97" s="5">
        <v>10</v>
      </c>
      <c r="D97" s="5">
        <v>36</v>
      </c>
      <c r="E97" s="6">
        <v>45238</v>
      </c>
      <c r="F97" s="5" t="s">
        <v>86</v>
      </c>
      <c r="G97" s="5" t="s">
        <v>69</v>
      </c>
      <c r="H97" s="7">
        <v>275756.38</v>
      </c>
      <c r="K97" s="233">
        <v>278294.12</v>
      </c>
    </row>
    <row r="98" spans="1:11" x14ac:dyDescent="0.25">
      <c r="A98" s="5">
        <v>7</v>
      </c>
      <c r="B98" s="5" t="s">
        <v>9</v>
      </c>
      <c r="C98" s="5">
        <v>10</v>
      </c>
      <c r="D98" s="5">
        <v>30</v>
      </c>
      <c r="E98" s="6">
        <v>45243</v>
      </c>
      <c r="F98" s="5" t="s">
        <v>87</v>
      </c>
      <c r="G98" s="5" t="s">
        <v>88</v>
      </c>
      <c r="H98" s="7">
        <v>175043.63</v>
      </c>
      <c r="K98" s="233">
        <v>279124.37</v>
      </c>
    </row>
    <row r="99" spans="1:11" x14ac:dyDescent="0.25">
      <c r="A99" s="5">
        <v>6</v>
      </c>
      <c r="B99" s="5" t="s">
        <v>9</v>
      </c>
      <c r="C99" s="5">
        <v>10</v>
      </c>
      <c r="D99" s="5">
        <v>26</v>
      </c>
      <c r="E99" s="6">
        <v>45246</v>
      </c>
      <c r="F99" s="5" t="s">
        <v>89</v>
      </c>
      <c r="G99" s="5" t="s">
        <v>90</v>
      </c>
      <c r="H99" s="7">
        <v>167472.44</v>
      </c>
      <c r="K99" s="233">
        <v>319327.84000000003</v>
      </c>
    </row>
    <row r="100" spans="1:11" x14ac:dyDescent="0.25">
      <c r="A100" s="5">
        <v>4</v>
      </c>
      <c r="B100" s="5" t="s">
        <v>9</v>
      </c>
      <c r="C100" s="5">
        <v>10</v>
      </c>
      <c r="D100" s="5">
        <v>16</v>
      </c>
      <c r="E100" s="6">
        <v>45250</v>
      </c>
      <c r="F100" s="5" t="s">
        <v>91</v>
      </c>
      <c r="G100" s="5" t="s">
        <v>92</v>
      </c>
      <c r="H100" s="7">
        <v>319328.46000000002</v>
      </c>
      <c r="K100" s="233">
        <v>104120</v>
      </c>
    </row>
    <row r="101" spans="1:11" x14ac:dyDescent="0.25">
      <c r="A101" s="5">
        <v>4</v>
      </c>
      <c r="B101" s="5" t="s">
        <v>9</v>
      </c>
      <c r="C101" s="5">
        <v>11</v>
      </c>
      <c r="D101" s="5">
        <v>16</v>
      </c>
      <c r="E101" s="6">
        <v>45252</v>
      </c>
      <c r="F101" s="5" t="s">
        <v>93</v>
      </c>
      <c r="G101" s="5" t="s">
        <v>62</v>
      </c>
      <c r="H101" s="7">
        <v>425025.21</v>
      </c>
      <c r="K101" s="233">
        <v>526890.75</v>
      </c>
    </row>
    <row r="102" spans="1:11" x14ac:dyDescent="0.25">
      <c r="A102" s="5">
        <v>1</v>
      </c>
      <c r="B102" s="5" t="s">
        <v>9</v>
      </c>
      <c r="C102" s="5">
        <v>11</v>
      </c>
      <c r="D102" s="5">
        <v>2</v>
      </c>
      <c r="E102" s="6">
        <v>45254</v>
      </c>
      <c r="F102" s="5" t="s">
        <v>94</v>
      </c>
      <c r="G102" s="5" t="s">
        <v>95</v>
      </c>
      <c r="H102" s="7">
        <v>387344.54</v>
      </c>
      <c r="K102" s="233">
        <v>886635</v>
      </c>
    </row>
    <row r="103" spans="1:11" x14ac:dyDescent="0.25">
      <c r="A103" s="5">
        <v>9</v>
      </c>
      <c r="B103" s="5" t="s">
        <v>9</v>
      </c>
      <c r="C103" s="5">
        <v>11</v>
      </c>
      <c r="D103" s="5">
        <v>36</v>
      </c>
      <c r="E103" s="6">
        <v>45256</v>
      </c>
      <c r="F103" s="5" t="s">
        <v>96</v>
      </c>
      <c r="G103" s="5" t="s">
        <v>97</v>
      </c>
      <c r="H103" s="7">
        <v>522743.05</v>
      </c>
      <c r="K103" s="233">
        <v>83277</v>
      </c>
    </row>
    <row r="104" spans="1:11" x14ac:dyDescent="0.25">
      <c r="A104" s="5">
        <v>10</v>
      </c>
      <c r="B104" s="5" t="s">
        <v>9</v>
      </c>
      <c r="C104" s="5">
        <v>11</v>
      </c>
      <c r="D104" s="5">
        <v>40</v>
      </c>
      <c r="E104" s="19">
        <v>45260</v>
      </c>
      <c r="F104" s="8" t="s">
        <v>197</v>
      </c>
      <c r="G104" s="8" t="s">
        <v>176</v>
      </c>
      <c r="H104" s="7">
        <v>4785557.5</v>
      </c>
      <c r="I104" s="3">
        <v>2077002.42</v>
      </c>
      <c r="J104" t="s">
        <v>253</v>
      </c>
      <c r="K104" s="233">
        <v>225639.09</v>
      </c>
    </row>
    <row r="105" spans="1:11" x14ac:dyDescent="0.25">
      <c r="A105" s="5">
        <v>10</v>
      </c>
      <c r="B105" s="5" t="s">
        <v>9</v>
      </c>
      <c r="C105" s="5">
        <v>10</v>
      </c>
      <c r="D105" s="5">
        <v>44</v>
      </c>
      <c r="E105" s="6">
        <v>45262</v>
      </c>
      <c r="F105" s="5" t="s">
        <v>98</v>
      </c>
      <c r="G105" s="5" t="s">
        <v>78</v>
      </c>
      <c r="H105" s="7">
        <v>72200</v>
      </c>
      <c r="K105" s="233">
        <v>217861</v>
      </c>
    </row>
    <row r="106" spans="1:11" x14ac:dyDescent="0.25">
      <c r="A106" s="5">
        <v>9</v>
      </c>
      <c r="B106" s="5" t="s">
        <v>9</v>
      </c>
      <c r="C106" s="5">
        <v>12</v>
      </c>
      <c r="D106" s="5">
        <v>38</v>
      </c>
      <c r="E106" s="6">
        <v>45266</v>
      </c>
      <c r="F106" s="5" t="s">
        <v>99</v>
      </c>
      <c r="G106" s="5" t="s">
        <v>100</v>
      </c>
      <c r="H106" s="7">
        <v>278294.12</v>
      </c>
      <c r="K106" s="233">
        <v>90744.28</v>
      </c>
    </row>
    <row r="107" spans="1:11" x14ac:dyDescent="0.25">
      <c r="A107" s="5">
        <v>2</v>
      </c>
      <c r="B107" s="5" t="s">
        <v>9</v>
      </c>
      <c r="C107" s="5">
        <v>10</v>
      </c>
      <c r="D107" s="5">
        <v>6</v>
      </c>
      <c r="E107" s="6">
        <v>45267</v>
      </c>
      <c r="F107" s="5" t="s">
        <v>101</v>
      </c>
      <c r="G107" s="5" t="s">
        <v>62</v>
      </c>
      <c r="H107" s="7">
        <v>279124.37</v>
      </c>
      <c r="K107" s="233">
        <v>76028.3</v>
      </c>
    </row>
    <row r="108" spans="1:11" x14ac:dyDescent="0.25">
      <c r="A108" s="5">
        <v>5</v>
      </c>
      <c r="B108" s="5" t="s">
        <v>9</v>
      </c>
      <c r="C108" s="5">
        <v>10</v>
      </c>
      <c r="D108" s="5">
        <v>21</v>
      </c>
      <c r="E108" s="6">
        <v>45267</v>
      </c>
      <c r="F108" s="5" t="s">
        <v>102</v>
      </c>
      <c r="G108" s="5" t="s">
        <v>103</v>
      </c>
      <c r="H108" s="7">
        <v>319327.84000000003</v>
      </c>
      <c r="K108" s="233">
        <v>255225.08</v>
      </c>
    </row>
    <row r="109" spans="1:11" x14ac:dyDescent="0.25">
      <c r="A109" s="5">
        <v>14</v>
      </c>
      <c r="B109" s="5" t="s">
        <v>9</v>
      </c>
      <c r="C109" s="5">
        <v>12</v>
      </c>
      <c r="D109" s="5">
        <v>60</v>
      </c>
      <c r="E109" s="6">
        <v>45267</v>
      </c>
      <c r="F109" s="5" t="s">
        <v>104</v>
      </c>
      <c r="G109" s="5" t="s">
        <v>78</v>
      </c>
      <c r="H109" s="7">
        <v>104120</v>
      </c>
      <c r="K109" s="233">
        <v>3756450.29</v>
      </c>
    </row>
    <row r="110" spans="1:11" x14ac:dyDescent="0.25">
      <c r="A110" s="5">
        <v>11</v>
      </c>
      <c r="B110" s="5" t="s">
        <v>9</v>
      </c>
      <c r="C110" s="5">
        <v>12</v>
      </c>
      <c r="D110" s="5">
        <v>48</v>
      </c>
      <c r="E110" s="6">
        <v>45272</v>
      </c>
      <c r="F110" s="5" t="s">
        <v>105</v>
      </c>
      <c r="G110" s="5" t="s">
        <v>106</v>
      </c>
      <c r="H110" s="7">
        <v>526890.75</v>
      </c>
      <c r="K110" s="233">
        <v>1627166.87</v>
      </c>
    </row>
    <row r="111" spans="1:11" x14ac:dyDescent="0.25">
      <c r="A111" s="5">
        <v>1</v>
      </c>
      <c r="B111" s="5" t="s">
        <v>9</v>
      </c>
      <c r="C111" s="5">
        <v>12</v>
      </c>
      <c r="D111" s="5">
        <v>1</v>
      </c>
      <c r="E111" s="6">
        <v>45279</v>
      </c>
      <c r="F111" s="5" t="s">
        <v>107</v>
      </c>
      <c r="G111" s="5" t="s">
        <v>108</v>
      </c>
      <c r="H111" s="7">
        <v>886635</v>
      </c>
      <c r="K111" s="233">
        <v>2460537</v>
      </c>
    </row>
    <row r="112" spans="1:11" x14ac:dyDescent="0.25">
      <c r="A112" s="5">
        <v>2</v>
      </c>
      <c r="B112" s="5" t="s">
        <v>9</v>
      </c>
      <c r="C112" s="5">
        <v>12</v>
      </c>
      <c r="D112" s="5">
        <v>6</v>
      </c>
      <c r="E112" s="6">
        <v>45287</v>
      </c>
      <c r="F112" s="5" t="s">
        <v>109</v>
      </c>
      <c r="G112" s="5" t="s">
        <v>110</v>
      </c>
      <c r="H112" s="7">
        <v>83277</v>
      </c>
      <c r="K112" s="233">
        <v>1813230</v>
      </c>
    </row>
    <row r="113" spans="1:12" x14ac:dyDescent="0.25">
      <c r="A113" s="5">
        <v>16</v>
      </c>
      <c r="B113" s="5" t="s">
        <v>9</v>
      </c>
      <c r="C113" s="5">
        <v>12</v>
      </c>
      <c r="D113" s="5">
        <v>68</v>
      </c>
      <c r="E113" s="6">
        <v>45287</v>
      </c>
      <c r="F113" s="5" t="s">
        <v>111</v>
      </c>
      <c r="G113" s="8" t="s">
        <v>156</v>
      </c>
      <c r="H113" s="7">
        <v>225639.09</v>
      </c>
      <c r="K113" s="233">
        <v>1906560</v>
      </c>
    </row>
    <row r="114" spans="1:12" x14ac:dyDescent="0.25">
      <c r="A114" s="5">
        <v>17</v>
      </c>
      <c r="B114" s="5" t="s">
        <v>9</v>
      </c>
      <c r="C114" s="5">
        <v>12</v>
      </c>
      <c r="D114" s="5">
        <v>72</v>
      </c>
      <c r="E114" s="6">
        <v>45287</v>
      </c>
      <c r="F114" s="5" t="s">
        <v>112</v>
      </c>
      <c r="G114" s="8" t="s">
        <v>156</v>
      </c>
      <c r="H114" s="7">
        <v>217861</v>
      </c>
      <c r="I114" s="4"/>
      <c r="K114" s="233">
        <v>2008912.5</v>
      </c>
    </row>
    <row r="115" spans="1:12" x14ac:dyDescent="0.25">
      <c r="A115" s="5">
        <v>15</v>
      </c>
      <c r="B115" s="5" t="s">
        <v>9</v>
      </c>
      <c r="C115" s="5">
        <v>12</v>
      </c>
      <c r="D115" s="5">
        <v>64</v>
      </c>
      <c r="E115" s="6">
        <v>45289</v>
      </c>
      <c r="F115" s="5" t="s">
        <v>113</v>
      </c>
      <c r="G115" s="8" t="s">
        <v>156</v>
      </c>
      <c r="H115" s="7">
        <v>90744.28</v>
      </c>
      <c r="K115" s="233">
        <v>1573087.5</v>
      </c>
    </row>
    <row r="116" spans="1:12" ht="15.75" thickBot="1" x14ac:dyDescent="0.3">
      <c r="A116" s="5">
        <v>18</v>
      </c>
      <c r="B116" s="5" t="s">
        <v>9</v>
      </c>
      <c r="C116" s="5">
        <v>12</v>
      </c>
      <c r="D116" s="5">
        <v>76</v>
      </c>
      <c r="E116" s="6">
        <v>45289</v>
      </c>
      <c r="F116" s="5" t="s">
        <v>114</v>
      </c>
      <c r="G116" s="8" t="s">
        <v>156</v>
      </c>
      <c r="H116" s="7">
        <v>76028.3</v>
      </c>
    </row>
    <row r="117" spans="1:12" ht="15.75" thickBot="1" x14ac:dyDescent="0.3">
      <c r="A117" s="8"/>
      <c r="B117" s="8"/>
      <c r="C117" s="8"/>
      <c r="D117" s="8"/>
      <c r="E117" s="8"/>
      <c r="F117" s="8" t="s">
        <v>154</v>
      </c>
      <c r="G117" s="8"/>
      <c r="H117" s="15">
        <v>440.5</v>
      </c>
      <c r="I117" s="1" t="s">
        <v>155</v>
      </c>
      <c r="J117" s="20">
        <v>64852860</v>
      </c>
    </row>
    <row r="118" spans="1:12" x14ac:dyDescent="0.25">
      <c r="A118" s="9"/>
      <c r="B118" s="9"/>
      <c r="C118" s="9"/>
      <c r="D118" s="9"/>
      <c r="E118" s="10"/>
      <c r="F118" s="9"/>
      <c r="G118" s="9"/>
      <c r="H118" s="16">
        <f>SUM(H2:H117)</f>
        <v>64852859.060000017</v>
      </c>
      <c r="K118" s="2"/>
      <c r="L118" s="2"/>
    </row>
    <row r="119" spans="1:12" x14ac:dyDescent="0.25">
      <c r="A119" s="11">
        <v>2</v>
      </c>
      <c r="B119" s="11" t="s">
        <v>9</v>
      </c>
      <c r="C119" s="11">
        <v>2</v>
      </c>
      <c r="D119" s="11">
        <v>6</v>
      </c>
      <c r="E119" s="12">
        <v>44958</v>
      </c>
      <c r="F119" s="11" t="s">
        <v>18</v>
      </c>
      <c r="G119" s="11" t="s">
        <v>19</v>
      </c>
      <c r="H119" s="13">
        <v>27360</v>
      </c>
      <c r="K119" s="2"/>
      <c r="L119" s="2"/>
    </row>
    <row r="120" spans="1:12" x14ac:dyDescent="0.25">
      <c r="A120" s="11">
        <v>4</v>
      </c>
      <c r="B120" s="11" t="s">
        <v>9</v>
      </c>
      <c r="C120" s="11">
        <v>1</v>
      </c>
      <c r="D120" s="11">
        <v>14</v>
      </c>
      <c r="E120" s="12">
        <v>45076</v>
      </c>
      <c r="F120" s="11" t="s">
        <v>50</v>
      </c>
      <c r="G120" s="11" t="s">
        <v>14</v>
      </c>
      <c r="H120" s="13">
        <v>14936.55</v>
      </c>
      <c r="K120" s="2"/>
      <c r="L120" s="2"/>
    </row>
    <row r="121" spans="1:12" x14ac:dyDescent="0.25">
      <c r="A121" s="11">
        <v>12</v>
      </c>
      <c r="B121" s="11" t="s">
        <v>9</v>
      </c>
      <c r="C121" s="11">
        <v>12</v>
      </c>
      <c r="D121" s="11">
        <v>52</v>
      </c>
      <c r="E121" s="12">
        <v>45291</v>
      </c>
      <c r="F121" s="11" t="s">
        <v>115</v>
      </c>
      <c r="G121" s="11" t="s">
        <v>116</v>
      </c>
      <c r="H121" s="13">
        <v>255225.08</v>
      </c>
      <c r="K121" s="2"/>
      <c r="L121" s="2"/>
    </row>
    <row r="122" spans="1:12" x14ac:dyDescent="0.25">
      <c r="A122" s="5">
        <v>19</v>
      </c>
      <c r="B122" s="5" t="s">
        <v>9</v>
      </c>
      <c r="C122" s="5">
        <v>13</v>
      </c>
      <c r="D122" s="5">
        <v>3</v>
      </c>
      <c r="E122" s="6">
        <v>45291</v>
      </c>
      <c r="F122" s="5" t="s">
        <v>117</v>
      </c>
      <c r="G122" s="5" t="s">
        <v>198</v>
      </c>
      <c r="H122" s="14">
        <v>1627166.87</v>
      </c>
      <c r="K122" s="2"/>
    </row>
    <row r="123" spans="1:12" x14ac:dyDescent="0.25">
      <c r="A123" s="5">
        <v>13</v>
      </c>
      <c r="B123" s="5" t="s">
        <v>9</v>
      </c>
      <c r="C123" s="5">
        <v>12</v>
      </c>
      <c r="D123" s="5">
        <v>56</v>
      </c>
      <c r="E123" s="19">
        <v>45291</v>
      </c>
      <c r="F123" s="8" t="s">
        <v>178</v>
      </c>
      <c r="G123" s="8" t="s">
        <v>177</v>
      </c>
      <c r="H123" s="18">
        <v>1632450.68</v>
      </c>
      <c r="L123" s="2"/>
    </row>
    <row r="124" spans="1:12" x14ac:dyDescent="0.25">
      <c r="A124" s="5">
        <v>19</v>
      </c>
      <c r="B124" s="5" t="s">
        <v>9</v>
      </c>
      <c r="C124" s="5">
        <v>13</v>
      </c>
      <c r="D124" s="5">
        <v>8</v>
      </c>
      <c r="E124" s="6">
        <v>45291</v>
      </c>
      <c r="F124" s="5" t="s">
        <v>118</v>
      </c>
      <c r="G124" s="5" t="s">
        <v>198</v>
      </c>
      <c r="H124" s="14">
        <v>2460537</v>
      </c>
    </row>
    <row r="125" spans="1:12" x14ac:dyDescent="0.25">
      <c r="A125" s="5">
        <v>19</v>
      </c>
      <c r="B125" s="5" t="s">
        <v>9</v>
      </c>
      <c r="C125" s="5">
        <v>13</v>
      </c>
      <c r="D125" s="5">
        <v>13</v>
      </c>
      <c r="E125" s="6">
        <v>45291</v>
      </c>
      <c r="F125" s="5" t="s">
        <v>119</v>
      </c>
      <c r="G125" s="5" t="s">
        <v>198</v>
      </c>
      <c r="H125" s="14">
        <v>1813230</v>
      </c>
      <c r="L125" s="2"/>
    </row>
    <row r="126" spans="1:12" x14ac:dyDescent="0.25">
      <c r="A126" s="5">
        <v>19</v>
      </c>
      <c r="B126" s="5" t="s">
        <v>9</v>
      </c>
      <c r="C126" s="5">
        <v>13</v>
      </c>
      <c r="D126" s="5">
        <v>18</v>
      </c>
      <c r="E126" s="6">
        <v>45291</v>
      </c>
      <c r="F126" s="5" t="s">
        <v>120</v>
      </c>
      <c r="G126" s="5" t="s">
        <v>198</v>
      </c>
      <c r="H126" s="14">
        <v>1906560</v>
      </c>
    </row>
    <row r="127" spans="1:12" x14ac:dyDescent="0.25">
      <c r="A127" s="5">
        <v>19</v>
      </c>
      <c r="B127" s="5" t="s">
        <v>9</v>
      </c>
      <c r="C127" s="5">
        <v>13</v>
      </c>
      <c r="D127" s="5">
        <v>23</v>
      </c>
      <c r="E127" s="6">
        <v>45291</v>
      </c>
      <c r="F127" s="5" t="s">
        <v>121</v>
      </c>
      <c r="G127" s="5" t="s">
        <v>198</v>
      </c>
      <c r="H127" s="14">
        <v>2008912.5</v>
      </c>
    </row>
    <row r="128" spans="1:12" x14ac:dyDescent="0.25">
      <c r="A128" s="5">
        <v>19</v>
      </c>
      <c r="B128" s="5" t="s">
        <v>9</v>
      </c>
      <c r="C128" s="5">
        <v>13</v>
      </c>
      <c r="D128" s="5">
        <v>28</v>
      </c>
      <c r="E128" s="6">
        <v>45291</v>
      </c>
      <c r="F128" s="5" t="s">
        <v>122</v>
      </c>
      <c r="G128" s="5" t="s">
        <v>198</v>
      </c>
      <c r="H128" s="14">
        <v>1573087.5</v>
      </c>
    </row>
    <row r="129" spans="1:8" x14ac:dyDescent="0.25">
      <c r="A129" s="5"/>
      <c r="B129" s="5"/>
      <c r="C129" s="5"/>
      <c r="D129" s="5"/>
      <c r="E129" s="19">
        <v>45322</v>
      </c>
      <c r="F129" s="8" t="s">
        <v>181</v>
      </c>
      <c r="G129" s="8" t="s">
        <v>179</v>
      </c>
      <c r="H129" s="18">
        <v>1491051.52</v>
      </c>
    </row>
    <row r="130" spans="1:8" x14ac:dyDescent="0.25">
      <c r="A130" s="5"/>
      <c r="B130" s="5"/>
      <c r="C130" s="5"/>
      <c r="D130" s="5"/>
      <c r="E130" s="19">
        <v>45351</v>
      </c>
      <c r="F130" s="8" t="s">
        <v>180</v>
      </c>
      <c r="G130" s="8" t="s">
        <v>182</v>
      </c>
      <c r="H130" s="18">
        <v>503399.29</v>
      </c>
    </row>
    <row r="131" spans="1:8" x14ac:dyDescent="0.25">
      <c r="A131" s="5"/>
      <c r="B131" s="5"/>
      <c r="C131" s="5"/>
      <c r="D131" s="5"/>
      <c r="E131" s="19">
        <v>45382</v>
      </c>
      <c r="F131" s="8" t="s">
        <v>183</v>
      </c>
      <c r="G131" s="8" t="s">
        <v>184</v>
      </c>
      <c r="H131" s="18">
        <v>343259.64</v>
      </c>
    </row>
    <row r="132" spans="1:8" x14ac:dyDescent="0.25">
      <c r="A132" s="5"/>
      <c r="B132" s="5"/>
      <c r="C132" s="5"/>
      <c r="D132" s="5"/>
      <c r="E132" s="19">
        <v>45412</v>
      </c>
      <c r="F132" s="8" t="s">
        <v>185</v>
      </c>
      <c r="G132" s="8" t="s">
        <v>186</v>
      </c>
      <c r="H132" s="18">
        <v>683976.96</v>
      </c>
    </row>
    <row r="133" spans="1:8" x14ac:dyDescent="0.25">
      <c r="A133" s="5"/>
      <c r="B133" s="5"/>
      <c r="C133" s="5"/>
      <c r="D133" s="5"/>
      <c r="E133" s="5"/>
      <c r="F133" s="5"/>
      <c r="G133" s="5"/>
      <c r="H133" s="5"/>
    </row>
    <row r="134" spans="1:8" x14ac:dyDescent="0.25">
      <c r="A134" s="5"/>
      <c r="B134" s="5"/>
      <c r="C134" s="5"/>
      <c r="D134" s="5"/>
      <c r="E134" s="5"/>
      <c r="F134" s="5"/>
      <c r="G134" s="5"/>
      <c r="H134" s="5"/>
    </row>
    <row r="135" spans="1:8" x14ac:dyDescent="0.25">
      <c r="A135" s="5"/>
      <c r="B135" s="5"/>
      <c r="C135" s="5"/>
      <c r="D135" s="5"/>
      <c r="E135" s="5"/>
      <c r="F135" s="5"/>
      <c r="G135" s="5"/>
      <c r="H135" s="5"/>
    </row>
    <row r="136" spans="1:8" x14ac:dyDescent="0.25">
      <c r="A136" s="5"/>
      <c r="B136" s="5"/>
      <c r="C136" s="5"/>
      <c r="D136" s="5"/>
      <c r="E136" s="5"/>
      <c r="F136" s="5"/>
      <c r="G136" s="5"/>
      <c r="H136" s="5"/>
    </row>
    <row r="137" spans="1:8" x14ac:dyDescent="0.25">
      <c r="A137" s="5"/>
      <c r="B137" s="5"/>
      <c r="C137" s="5"/>
      <c r="D137" s="5"/>
      <c r="E137" s="5"/>
      <c r="F137" s="5"/>
      <c r="G137" s="5"/>
      <c r="H137" s="5"/>
    </row>
    <row r="138" spans="1:8" x14ac:dyDescent="0.25">
      <c r="A138" s="5"/>
      <c r="B138" s="5"/>
      <c r="C138" s="5"/>
      <c r="D138" s="5"/>
      <c r="E138" s="5"/>
      <c r="F138" s="5"/>
      <c r="G138" s="5"/>
      <c r="H138" s="5"/>
    </row>
    <row r="139" spans="1:8" x14ac:dyDescent="0.25">
      <c r="A139" s="5"/>
      <c r="B139" s="5"/>
      <c r="C139" s="5"/>
      <c r="D139" s="5"/>
      <c r="E139" s="5"/>
      <c r="F139" s="5"/>
      <c r="G139" s="5"/>
      <c r="H139" s="5"/>
    </row>
    <row r="140" spans="1:8" x14ac:dyDescent="0.25">
      <c r="A140" s="5"/>
      <c r="B140" s="5"/>
      <c r="C140" s="5"/>
      <c r="D140" s="5"/>
      <c r="E140" s="5"/>
      <c r="F140" s="5"/>
      <c r="G140" s="5"/>
      <c r="H140" s="5"/>
    </row>
    <row r="141" spans="1:8" x14ac:dyDescent="0.25">
      <c r="A141" s="5"/>
      <c r="B141" s="5"/>
      <c r="C141" s="5"/>
      <c r="D141" s="5"/>
      <c r="E141" s="5"/>
      <c r="F141" s="5"/>
      <c r="G141" s="5"/>
      <c r="H141" s="5"/>
    </row>
    <row r="142" spans="1:8" x14ac:dyDescent="0.25">
      <c r="A142" s="5"/>
      <c r="B142" s="5"/>
      <c r="C142" s="5"/>
      <c r="D142" s="5"/>
      <c r="E142" s="5"/>
      <c r="F142" s="5"/>
      <c r="G142" s="5"/>
      <c r="H142" s="5"/>
    </row>
    <row r="143" spans="1:8" x14ac:dyDescent="0.25">
      <c r="A143" s="5"/>
      <c r="B143" s="5"/>
      <c r="C143" s="5"/>
      <c r="D143" s="5"/>
      <c r="E143" s="5"/>
      <c r="F143" s="5"/>
      <c r="G143" s="5"/>
      <c r="H143" s="5"/>
    </row>
    <row r="144" spans="1:8" x14ac:dyDescent="0.25">
      <c r="A144" s="5"/>
      <c r="B144" s="5"/>
      <c r="C144" s="5"/>
      <c r="D144" s="5"/>
      <c r="E144" s="5"/>
      <c r="F144" s="5"/>
      <c r="G144" s="5"/>
      <c r="H144" s="5"/>
    </row>
    <row r="145" spans="1:8" x14ac:dyDescent="0.25">
      <c r="A145" s="5"/>
      <c r="B145" s="5"/>
      <c r="C145" s="5"/>
      <c r="D145" s="5"/>
      <c r="E145" s="5"/>
      <c r="F145" s="5"/>
      <c r="G145" s="5"/>
      <c r="H145" s="5"/>
    </row>
    <row r="146" spans="1:8" x14ac:dyDescent="0.25">
      <c r="A146" s="5"/>
      <c r="B146" s="5"/>
      <c r="C146" s="5"/>
      <c r="D146" s="5"/>
      <c r="E146" s="5"/>
      <c r="F146" s="5"/>
      <c r="G146" s="5"/>
      <c r="H146" s="5"/>
    </row>
    <row r="147" spans="1:8" x14ac:dyDescent="0.25">
      <c r="A147" s="5"/>
      <c r="B147" s="5"/>
      <c r="C147" s="5"/>
      <c r="D147" s="5"/>
      <c r="E147" s="5"/>
      <c r="F147" s="5"/>
      <c r="G147" s="5"/>
      <c r="H147" s="5"/>
    </row>
  </sheetData>
  <phoneticPr fontId="4" type="noConversion"/>
  <conditionalFormatting sqref="K1:K1048576 H1:H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80EE-5B18-4BAE-9497-4E4EDA2987BD}">
  <dimension ref="A1:J23"/>
  <sheetViews>
    <sheetView workbookViewId="0">
      <selection activeCell="M12" sqref="M12"/>
    </sheetView>
  </sheetViews>
  <sheetFormatPr baseColWidth="10" defaultRowHeight="15" x14ac:dyDescent="0.25"/>
  <cols>
    <col min="7" max="7" width="15.5703125" customWidth="1"/>
    <col min="10" max="10" width="14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131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x14ac:dyDescent="0.25">
      <c r="A2" s="5">
        <v>1</v>
      </c>
      <c r="B2" s="5" t="s">
        <v>15</v>
      </c>
      <c r="C2" s="5">
        <v>1</v>
      </c>
      <c r="D2" s="5">
        <v>1</v>
      </c>
      <c r="E2" s="6">
        <v>44929</v>
      </c>
      <c r="F2" s="5">
        <v>401001</v>
      </c>
      <c r="G2" s="5" t="s">
        <v>16</v>
      </c>
      <c r="H2" s="5" t="s">
        <v>132</v>
      </c>
      <c r="I2" s="5" t="s">
        <v>12</v>
      </c>
      <c r="J2" s="14">
        <v>15000000</v>
      </c>
    </row>
    <row r="3" spans="1:10" x14ac:dyDescent="0.25">
      <c r="A3" s="5">
        <v>6</v>
      </c>
      <c r="B3" s="5" t="s">
        <v>15</v>
      </c>
      <c r="C3" s="5">
        <v>1</v>
      </c>
      <c r="D3" s="5">
        <v>18</v>
      </c>
      <c r="E3" s="6">
        <v>44942</v>
      </c>
      <c r="F3" s="5">
        <v>401001</v>
      </c>
      <c r="G3" s="5" t="s">
        <v>16</v>
      </c>
      <c r="H3" s="5" t="s">
        <v>132</v>
      </c>
      <c r="I3" s="5" t="s">
        <v>12</v>
      </c>
      <c r="J3" s="14">
        <v>10000000</v>
      </c>
    </row>
    <row r="4" spans="1:10" x14ac:dyDescent="0.25">
      <c r="A4" s="5">
        <v>8</v>
      </c>
      <c r="B4" s="5" t="s">
        <v>15</v>
      </c>
      <c r="C4" s="5">
        <v>1</v>
      </c>
      <c r="D4" s="5">
        <v>26</v>
      </c>
      <c r="E4" s="6">
        <v>44950</v>
      </c>
      <c r="F4" s="5">
        <v>401001</v>
      </c>
      <c r="G4" s="5" t="s">
        <v>16</v>
      </c>
      <c r="H4" s="5" t="s">
        <v>132</v>
      </c>
      <c r="I4" s="5" t="s">
        <v>12</v>
      </c>
      <c r="J4" s="14">
        <v>10000000</v>
      </c>
    </row>
    <row r="5" spans="1:10" x14ac:dyDescent="0.25">
      <c r="A5" s="5">
        <v>12</v>
      </c>
      <c r="B5" s="5" t="s">
        <v>15</v>
      </c>
      <c r="C5" s="5">
        <v>2</v>
      </c>
      <c r="D5" s="5">
        <v>45</v>
      </c>
      <c r="E5" s="6">
        <v>44976</v>
      </c>
      <c r="F5" s="5">
        <v>401001</v>
      </c>
      <c r="G5" s="5" t="s">
        <v>16</v>
      </c>
      <c r="H5" s="5" t="s">
        <v>132</v>
      </c>
      <c r="I5" s="5" t="s">
        <v>12</v>
      </c>
      <c r="J5" s="14">
        <v>25000000</v>
      </c>
    </row>
    <row r="6" spans="1:10" x14ac:dyDescent="0.25">
      <c r="A6" s="5">
        <v>21</v>
      </c>
      <c r="B6" s="5" t="s">
        <v>15</v>
      </c>
      <c r="C6" s="5">
        <v>3</v>
      </c>
      <c r="D6" s="5">
        <v>71</v>
      </c>
      <c r="E6" s="6">
        <v>45007</v>
      </c>
      <c r="F6" s="5">
        <v>401001</v>
      </c>
      <c r="G6" s="5" t="s">
        <v>16</v>
      </c>
      <c r="H6" s="5" t="s">
        <v>132</v>
      </c>
      <c r="I6" s="5" t="s">
        <v>12</v>
      </c>
      <c r="J6" s="14">
        <v>2000000</v>
      </c>
    </row>
    <row r="7" spans="1:10" x14ac:dyDescent="0.25">
      <c r="A7" s="5">
        <v>21</v>
      </c>
      <c r="B7" s="5" t="s">
        <v>15</v>
      </c>
      <c r="C7" s="5">
        <v>3</v>
      </c>
      <c r="D7" s="5">
        <v>75</v>
      </c>
      <c r="E7" s="6">
        <v>45007</v>
      </c>
      <c r="F7" s="5">
        <v>401001</v>
      </c>
      <c r="G7" s="5" t="s">
        <v>16</v>
      </c>
      <c r="H7" s="5" t="s">
        <v>132</v>
      </c>
      <c r="I7" s="5" t="s">
        <v>12</v>
      </c>
      <c r="J7" s="14">
        <v>18000000</v>
      </c>
    </row>
    <row r="8" spans="1:10" x14ac:dyDescent="0.25">
      <c r="A8" s="5">
        <v>3</v>
      </c>
      <c r="B8" s="5" t="s">
        <v>15</v>
      </c>
      <c r="C8" s="5">
        <v>4</v>
      </c>
      <c r="D8" s="5">
        <v>8</v>
      </c>
      <c r="E8" s="6">
        <v>45018</v>
      </c>
      <c r="F8" s="5">
        <v>401001</v>
      </c>
      <c r="G8" s="5" t="s">
        <v>16</v>
      </c>
      <c r="H8" s="5" t="s">
        <v>132</v>
      </c>
      <c r="I8" s="5" t="s">
        <v>12</v>
      </c>
      <c r="J8" s="14">
        <v>18000000</v>
      </c>
    </row>
    <row r="9" spans="1:10" x14ac:dyDescent="0.25">
      <c r="A9" s="5">
        <v>9</v>
      </c>
      <c r="B9" s="5" t="s">
        <v>15</v>
      </c>
      <c r="C9" s="5">
        <v>4</v>
      </c>
      <c r="D9" s="5">
        <v>27</v>
      </c>
      <c r="E9" s="6">
        <v>45032</v>
      </c>
      <c r="F9" s="5">
        <v>401001</v>
      </c>
      <c r="G9" s="5" t="s">
        <v>16</v>
      </c>
      <c r="H9" s="5" t="s">
        <v>133</v>
      </c>
      <c r="I9" s="5" t="s">
        <v>12</v>
      </c>
      <c r="J9" s="14">
        <v>15000000</v>
      </c>
    </row>
    <row r="10" spans="1:10" x14ac:dyDescent="0.25">
      <c r="A10" s="5">
        <v>5</v>
      </c>
      <c r="B10" s="5" t="s">
        <v>15</v>
      </c>
      <c r="C10" s="5">
        <v>5</v>
      </c>
      <c r="D10" s="5">
        <v>13</v>
      </c>
      <c r="E10" s="6">
        <v>45053</v>
      </c>
      <c r="F10" s="5">
        <v>401001</v>
      </c>
      <c r="G10" s="5" t="s">
        <v>134</v>
      </c>
      <c r="H10" s="5" t="s">
        <v>132</v>
      </c>
      <c r="I10" s="5" t="s">
        <v>12</v>
      </c>
      <c r="J10" s="14">
        <v>15000000</v>
      </c>
    </row>
    <row r="11" spans="1:10" x14ac:dyDescent="0.25">
      <c r="A11" s="5">
        <v>11</v>
      </c>
      <c r="B11" s="5" t="s">
        <v>15</v>
      </c>
      <c r="C11" s="5">
        <v>5</v>
      </c>
      <c r="D11" s="5">
        <v>31</v>
      </c>
      <c r="E11" s="6">
        <v>45057</v>
      </c>
      <c r="F11" s="5">
        <v>401001</v>
      </c>
      <c r="G11" s="5" t="s">
        <v>135</v>
      </c>
      <c r="H11" s="5" t="s">
        <v>136</v>
      </c>
      <c r="I11" s="5" t="s">
        <v>12</v>
      </c>
      <c r="J11" s="14">
        <v>10000000</v>
      </c>
    </row>
    <row r="12" spans="1:10" x14ac:dyDescent="0.25">
      <c r="A12" s="5">
        <v>12</v>
      </c>
      <c r="B12" s="5" t="s">
        <v>15</v>
      </c>
      <c r="C12" s="5">
        <v>6</v>
      </c>
      <c r="D12" s="5">
        <v>35</v>
      </c>
      <c r="E12" s="6">
        <v>45095</v>
      </c>
      <c r="F12" s="5">
        <v>401001</v>
      </c>
      <c r="G12" s="5" t="s">
        <v>137</v>
      </c>
      <c r="H12" s="5" t="s">
        <v>132</v>
      </c>
      <c r="I12" s="5" t="s">
        <v>12</v>
      </c>
      <c r="J12" s="14">
        <v>7000000</v>
      </c>
    </row>
    <row r="13" spans="1:10" x14ac:dyDescent="0.25">
      <c r="A13" s="5">
        <v>19</v>
      </c>
      <c r="B13" s="5" t="s">
        <v>15</v>
      </c>
      <c r="C13" s="5">
        <v>6</v>
      </c>
      <c r="D13" s="5">
        <v>56</v>
      </c>
      <c r="E13" s="6">
        <v>45095</v>
      </c>
      <c r="F13" s="5">
        <v>401001</v>
      </c>
      <c r="G13" s="5" t="s">
        <v>138</v>
      </c>
      <c r="H13" s="5" t="s">
        <v>139</v>
      </c>
      <c r="I13" s="5" t="s">
        <v>12</v>
      </c>
      <c r="J13" s="14">
        <v>10000000</v>
      </c>
    </row>
    <row r="14" spans="1:10" x14ac:dyDescent="0.25">
      <c r="A14" s="5">
        <v>27</v>
      </c>
      <c r="B14" s="5" t="s">
        <v>15</v>
      </c>
      <c r="C14" s="5">
        <v>6</v>
      </c>
      <c r="D14" s="5">
        <v>80</v>
      </c>
      <c r="E14" s="6">
        <v>45099</v>
      </c>
      <c r="F14" s="5">
        <v>401001</v>
      </c>
      <c r="G14" s="5" t="s">
        <v>16</v>
      </c>
      <c r="H14" s="5" t="s">
        <v>140</v>
      </c>
      <c r="I14" s="5" t="s">
        <v>12</v>
      </c>
      <c r="J14" s="14">
        <v>10000000</v>
      </c>
    </row>
    <row r="15" spans="1:10" x14ac:dyDescent="0.25">
      <c r="A15" s="5">
        <v>7</v>
      </c>
      <c r="B15" s="5" t="s">
        <v>15</v>
      </c>
      <c r="C15" s="5">
        <v>7</v>
      </c>
      <c r="D15" s="5">
        <v>10</v>
      </c>
      <c r="E15" s="6">
        <v>45131</v>
      </c>
      <c r="F15" s="5">
        <v>401001</v>
      </c>
      <c r="G15" s="5" t="s">
        <v>141</v>
      </c>
      <c r="H15" s="5" t="s">
        <v>142</v>
      </c>
      <c r="I15" s="5" t="s">
        <v>12</v>
      </c>
      <c r="J15" s="14">
        <v>20000000</v>
      </c>
    </row>
    <row r="16" spans="1:10" x14ac:dyDescent="0.25">
      <c r="A16" s="5">
        <v>36</v>
      </c>
      <c r="B16" s="5" t="s">
        <v>15</v>
      </c>
      <c r="C16" s="5">
        <v>8</v>
      </c>
      <c r="D16" s="5">
        <v>114</v>
      </c>
      <c r="E16" s="6">
        <v>45141</v>
      </c>
      <c r="F16" s="5">
        <v>401001</v>
      </c>
      <c r="G16" s="5" t="s">
        <v>143</v>
      </c>
      <c r="H16" s="5" t="s">
        <v>144</v>
      </c>
      <c r="I16" s="5" t="s">
        <v>12</v>
      </c>
      <c r="J16" s="14">
        <v>10000000</v>
      </c>
    </row>
    <row r="17" spans="1:10" x14ac:dyDescent="0.25">
      <c r="A17" s="5">
        <v>3</v>
      </c>
      <c r="B17" s="5" t="s">
        <v>15</v>
      </c>
      <c r="C17" s="5">
        <v>10</v>
      </c>
      <c r="D17" s="5">
        <v>7</v>
      </c>
      <c r="E17" s="6">
        <v>45200</v>
      </c>
      <c r="F17" s="5">
        <v>401001</v>
      </c>
      <c r="G17" s="5" t="s">
        <v>145</v>
      </c>
      <c r="H17" s="5" t="s">
        <v>132</v>
      </c>
      <c r="I17" s="5" t="s">
        <v>12</v>
      </c>
      <c r="J17" s="14">
        <v>20000000</v>
      </c>
    </row>
    <row r="18" spans="1:10" x14ac:dyDescent="0.25">
      <c r="A18" s="5">
        <v>25</v>
      </c>
      <c r="B18" s="5" t="s">
        <v>15</v>
      </c>
      <c r="C18" s="5">
        <v>10</v>
      </c>
      <c r="D18" s="5">
        <v>89</v>
      </c>
      <c r="E18" s="6">
        <v>45224</v>
      </c>
      <c r="F18" s="5">
        <v>401001</v>
      </c>
      <c r="G18" s="5" t="s">
        <v>146</v>
      </c>
      <c r="H18" s="5" t="s">
        <v>147</v>
      </c>
      <c r="I18" s="5" t="s">
        <v>12</v>
      </c>
      <c r="J18" s="14">
        <v>15000000</v>
      </c>
    </row>
    <row r="19" spans="1:10" x14ac:dyDescent="0.25">
      <c r="A19" s="5">
        <v>29</v>
      </c>
      <c r="B19" s="5" t="s">
        <v>15</v>
      </c>
      <c r="C19" s="5">
        <v>10</v>
      </c>
      <c r="D19" s="5">
        <v>104</v>
      </c>
      <c r="E19" s="6">
        <v>45224</v>
      </c>
      <c r="F19" s="5">
        <v>401001</v>
      </c>
      <c r="G19" s="5" t="s">
        <v>148</v>
      </c>
      <c r="H19" s="5" t="s">
        <v>147</v>
      </c>
      <c r="I19" s="5" t="s">
        <v>12</v>
      </c>
      <c r="J19" s="14">
        <v>1674982.3999999999</v>
      </c>
    </row>
    <row r="20" spans="1:10" x14ac:dyDescent="0.25">
      <c r="A20" s="5">
        <v>7</v>
      </c>
      <c r="B20" s="5" t="s">
        <v>15</v>
      </c>
      <c r="C20" s="5">
        <v>11</v>
      </c>
      <c r="D20" s="5">
        <v>22</v>
      </c>
      <c r="E20" s="6">
        <v>45232</v>
      </c>
      <c r="F20" s="5">
        <v>401001</v>
      </c>
      <c r="G20" s="5" t="s">
        <v>149</v>
      </c>
      <c r="H20" s="5" t="s">
        <v>133</v>
      </c>
      <c r="I20" s="5" t="s">
        <v>12</v>
      </c>
      <c r="J20" s="14">
        <v>26000000</v>
      </c>
    </row>
    <row r="21" spans="1:10" x14ac:dyDescent="0.25">
      <c r="A21" s="5">
        <v>11</v>
      </c>
      <c r="B21" s="5" t="s">
        <v>15</v>
      </c>
      <c r="C21" s="5">
        <v>12</v>
      </c>
      <c r="D21" s="5">
        <v>40</v>
      </c>
      <c r="E21" s="6">
        <v>45267</v>
      </c>
      <c r="F21" s="5">
        <v>401001</v>
      </c>
      <c r="G21" s="5" t="s">
        <v>150</v>
      </c>
      <c r="H21" s="5" t="s">
        <v>132</v>
      </c>
      <c r="I21" s="5" t="s">
        <v>12</v>
      </c>
      <c r="J21" s="14">
        <v>10000000</v>
      </c>
    </row>
    <row r="22" spans="1:10" x14ac:dyDescent="0.25">
      <c r="A22" s="5">
        <v>48</v>
      </c>
      <c r="B22" s="5" t="s">
        <v>15</v>
      </c>
      <c r="C22" s="5">
        <v>12</v>
      </c>
      <c r="D22" s="5">
        <v>199</v>
      </c>
      <c r="E22" s="6">
        <v>45291</v>
      </c>
      <c r="F22" s="5">
        <v>401001</v>
      </c>
      <c r="G22" s="5" t="s">
        <v>151</v>
      </c>
      <c r="H22" s="5" t="s">
        <v>136</v>
      </c>
      <c r="I22" s="5" t="s">
        <v>12</v>
      </c>
      <c r="J22" s="14">
        <v>10000000</v>
      </c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177">
        <f>SUM(J2:J22)</f>
        <v>277674982.39999998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RECAP TVA 2023 YAZID </vt:lpstr>
      <vt:lpstr>Feuil1</vt:lpstr>
      <vt:lpstr>RECAP TVA 2023 MADANI</vt:lpstr>
      <vt:lpstr>MADANI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2024-11-16T11:25:31Z</cp:lastPrinted>
  <dcterms:created xsi:type="dcterms:W3CDTF">2024-11-14T15:52:36Z</dcterms:created>
  <dcterms:modified xsi:type="dcterms:W3CDTF">2024-12-15T19:42:09Z</dcterms:modified>
</cp:coreProperties>
</file>